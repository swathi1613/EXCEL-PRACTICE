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8f2c9f17cdb88a9c/"/>
    </mc:Choice>
  </mc:AlternateContent>
  <xr:revisionPtr revIDLastSave="226" documentId="8_{A13BAF1C-3817-4B49-8917-2010BBF84AE9}" xr6:coauthVersionLast="47" xr6:coauthVersionMax="47" xr10:uidLastSave="{2EA08A21-4447-46C2-927A-B7A515CB5438}"/>
  <bookViews>
    <workbookView xWindow="-103" yWindow="-103" windowWidth="16663" windowHeight="9772" activeTab="3" xr2:uid="{C29B0C7A-86E4-4C11-B3EE-B4531305E065}"/>
  </bookViews>
  <sheets>
    <sheet name="Detail1" sheetId="8" r:id="rId1"/>
    <sheet name="Pivot Analysis" sheetId="6" r:id="rId2"/>
    <sheet name="Dashboard" sheetId="7" r:id="rId3"/>
    <sheet name="Insights" sheetId="9" r:id="rId4"/>
    <sheet name="Clean data" sheetId="4" r:id="rId5"/>
    <sheet name="Calculations" sheetId="5" r:id="rId6"/>
    <sheet name="Raw Data" sheetId="1" r:id="rId7"/>
    <sheet name="Product Lookup" sheetId="2" r:id="rId8"/>
    <sheet name="City Lookup" sheetId="3" r:id="rId9"/>
  </sheets>
  <definedNames>
    <definedName name="Slicer_Catogery">#N/A</definedName>
    <definedName name="Slicer_City">#N/A</definedName>
    <definedName name="Slicer_Payment_Method">#N/A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 i="4"/>
  <c r="D2" i="5"/>
  <c r="C2" i="5"/>
  <c r="S3" i="4"/>
  <c r="S4" i="4"/>
  <c r="S5" i="4"/>
  <c r="S6" i="4"/>
  <c r="S7" i="4"/>
  <c r="S8" i="4"/>
  <c r="S9" i="4"/>
  <c r="S10" i="4"/>
  <c r="I7" i="4"/>
  <c r="I8" i="4"/>
  <c r="I9" i="4"/>
  <c r="I10" i="4"/>
  <c r="I11" i="4"/>
  <c r="I12" i="4"/>
  <c r="I13" i="4"/>
  <c r="I14" i="4"/>
  <c r="I15" i="4"/>
  <c r="I16" i="4"/>
  <c r="I17" i="4"/>
  <c r="I18" i="4"/>
  <c r="I19" i="4"/>
  <c r="I20" i="4"/>
  <c r="I2" i="4"/>
  <c r="I3" i="4"/>
  <c r="I4" i="4"/>
  <c r="I5" i="4"/>
  <c r="I6" i="4"/>
  <c r="H3" i="4"/>
  <c r="H4" i="4"/>
  <c r="H5" i="4"/>
  <c r="H6" i="4"/>
  <c r="H7" i="4"/>
  <c r="H8" i="4"/>
  <c r="H9" i="4"/>
  <c r="H10" i="4"/>
  <c r="H11" i="4"/>
  <c r="H12" i="4"/>
  <c r="H13" i="4"/>
  <c r="H14" i="4"/>
  <c r="H15" i="4"/>
  <c r="H16" i="4"/>
  <c r="H17" i="4"/>
  <c r="H18" i="4"/>
  <c r="H19" i="4"/>
  <c r="H20" i="4"/>
  <c r="H2" i="4"/>
  <c r="O3" i="4"/>
  <c r="O4" i="4"/>
  <c r="O5" i="4"/>
  <c r="O6" i="4"/>
  <c r="O7" i="4"/>
  <c r="O8" i="4"/>
  <c r="O9" i="4"/>
  <c r="O10" i="4"/>
  <c r="O11" i="4"/>
  <c r="S11" i="4" s="1"/>
  <c r="O12" i="4"/>
  <c r="S12" i="4" s="1"/>
  <c r="O13" i="4"/>
  <c r="S13" i="4" s="1"/>
  <c r="O14" i="4"/>
  <c r="S14" i="4" s="1"/>
  <c r="O15" i="4"/>
  <c r="S15" i="4" s="1"/>
  <c r="O16" i="4"/>
  <c r="S16" i="4" s="1"/>
  <c r="O17" i="4"/>
  <c r="S17" i="4" s="1"/>
  <c r="O18" i="4"/>
  <c r="S18" i="4" s="1"/>
  <c r="O19" i="4"/>
  <c r="S19" i="4" s="1"/>
  <c r="O20" i="4"/>
  <c r="S20" i="4" s="1"/>
  <c r="O2" i="4"/>
  <c r="S2" i="4" s="1"/>
  <c r="N3" i="4"/>
  <c r="R3" i="4" s="1"/>
  <c r="N4" i="4"/>
  <c r="R4" i="4" s="1"/>
  <c r="N5" i="4"/>
  <c r="R5" i="4" s="1"/>
  <c r="N6" i="4"/>
  <c r="R6" i="4" s="1"/>
  <c r="N7" i="4"/>
  <c r="R7" i="4" s="1"/>
  <c r="N8" i="4"/>
  <c r="R8" i="4" s="1"/>
  <c r="N9" i="4"/>
  <c r="R9" i="4" s="1"/>
  <c r="N10" i="4"/>
  <c r="R10" i="4" s="1"/>
  <c r="N11" i="4"/>
  <c r="R11" i="4" s="1"/>
  <c r="N12" i="4"/>
  <c r="R12" i="4" s="1"/>
  <c r="N13" i="4"/>
  <c r="R13" i="4" s="1"/>
  <c r="N14" i="4"/>
  <c r="R14" i="4" s="1"/>
  <c r="N15" i="4"/>
  <c r="R15" i="4" s="1"/>
  <c r="N16" i="4"/>
  <c r="R16" i="4" s="1"/>
  <c r="N17" i="4"/>
  <c r="R17" i="4" s="1"/>
  <c r="N18" i="4"/>
  <c r="R18" i="4" s="1"/>
  <c r="N19" i="4"/>
  <c r="R19" i="4" s="1"/>
  <c r="N20" i="4"/>
  <c r="R20" i="4" s="1"/>
  <c r="N2" i="4"/>
  <c r="R2" i="4" s="1"/>
  <c r="K3" i="4"/>
  <c r="K4" i="4"/>
  <c r="K5" i="4"/>
  <c r="K6" i="4"/>
  <c r="K7" i="4"/>
  <c r="K8" i="4"/>
  <c r="K9" i="4"/>
  <c r="K10" i="4"/>
  <c r="K11" i="4"/>
  <c r="K12" i="4"/>
  <c r="K13" i="4"/>
  <c r="K14" i="4"/>
  <c r="K15" i="4"/>
  <c r="K16" i="4"/>
  <c r="K17" i="4"/>
  <c r="K18" i="4"/>
  <c r="K19" i="4"/>
  <c r="K20" i="4"/>
  <c r="K2" i="4"/>
  <c r="B12" i="4"/>
  <c r="C12" i="4"/>
  <c r="D12" i="4"/>
  <c r="D3" i="4"/>
  <c r="D4" i="4"/>
  <c r="D5" i="4"/>
  <c r="D6" i="4"/>
  <c r="D7" i="4"/>
  <c r="D8" i="4"/>
  <c r="D9" i="4"/>
  <c r="D10" i="4"/>
  <c r="D11" i="4"/>
  <c r="D13" i="4"/>
  <c r="D14" i="4"/>
  <c r="D15" i="4"/>
  <c r="D16" i="4"/>
  <c r="D17" i="4"/>
  <c r="D18" i="4"/>
  <c r="D19" i="4"/>
  <c r="D20" i="4"/>
  <c r="D2" i="4"/>
  <c r="C3" i="4"/>
  <c r="C4" i="4"/>
  <c r="C5" i="4"/>
  <c r="C6" i="4"/>
  <c r="C7" i="4"/>
  <c r="C8" i="4"/>
  <c r="C9" i="4"/>
  <c r="C10" i="4"/>
  <c r="C11" i="4"/>
  <c r="C13" i="4"/>
  <c r="C14" i="4"/>
  <c r="C15" i="4"/>
  <c r="C16" i="4"/>
  <c r="C17" i="4"/>
  <c r="C18" i="4"/>
  <c r="C19" i="4"/>
  <c r="C20" i="4"/>
  <c r="C2" i="4"/>
  <c r="B3" i="4"/>
  <c r="B4" i="4"/>
  <c r="B5" i="4"/>
  <c r="B6" i="4"/>
  <c r="B7" i="4"/>
  <c r="B8" i="4"/>
  <c r="B9" i="4"/>
  <c r="B10" i="4"/>
  <c r="B11" i="4"/>
  <c r="B13" i="4"/>
  <c r="B14" i="4"/>
  <c r="B15" i="4"/>
  <c r="B16" i="4"/>
  <c r="B17" i="4"/>
  <c r="B18" i="4"/>
  <c r="B19" i="4"/>
  <c r="B20" i="4"/>
  <c r="B2" i="4"/>
  <c r="T3" i="4" l="1"/>
  <c r="V3" i="4"/>
  <c r="V4" i="4"/>
  <c r="T4" i="4"/>
  <c r="T5" i="4"/>
  <c r="V5" i="4"/>
  <c r="V6" i="4"/>
  <c r="T6" i="4"/>
  <c r="T7" i="4"/>
  <c r="V7" i="4"/>
  <c r="T8" i="4"/>
  <c r="V8" i="4"/>
  <c r="T9" i="4"/>
  <c r="V9" i="4"/>
  <c r="T10" i="4"/>
  <c r="V10" i="4"/>
  <c r="T11" i="4"/>
  <c r="V11" i="4"/>
  <c r="T12" i="4"/>
  <c r="V12" i="4"/>
  <c r="T13" i="4"/>
  <c r="V13" i="4"/>
  <c r="T14" i="4"/>
  <c r="V14" i="4"/>
  <c r="T15" i="4"/>
  <c r="V15" i="4"/>
  <c r="T16" i="4"/>
  <c r="V16" i="4"/>
  <c r="T17" i="4"/>
  <c r="V17" i="4"/>
  <c r="T18" i="4"/>
  <c r="V18" i="4"/>
  <c r="T19" i="4"/>
  <c r="V19" i="4"/>
  <c r="T20" i="4"/>
  <c r="V20" i="4"/>
  <c r="V2" i="4"/>
  <c r="A2" i="5"/>
  <c r="E2" i="5"/>
  <c r="T2" i="4"/>
  <c r="F2" i="5"/>
  <c r="W3" i="4" l="1"/>
  <c r="U3" i="4"/>
  <c r="W4" i="4"/>
  <c r="U4" i="4"/>
  <c r="W5" i="4"/>
  <c r="U5" i="4"/>
  <c r="U6" i="4"/>
  <c r="W6" i="4"/>
  <c r="U7" i="4"/>
  <c r="W7" i="4"/>
  <c r="U8" i="4"/>
  <c r="W8" i="4"/>
  <c r="W9" i="4"/>
  <c r="U9" i="4"/>
  <c r="U10" i="4"/>
  <c r="W10" i="4"/>
  <c r="U11" i="4"/>
  <c r="W11" i="4"/>
  <c r="U12" i="4"/>
  <c r="W12" i="4"/>
  <c r="W13" i="4"/>
  <c r="U13" i="4"/>
  <c r="W14" i="4"/>
  <c r="U14" i="4"/>
  <c r="W15" i="4"/>
  <c r="U15" i="4"/>
  <c r="W16" i="4"/>
  <c r="U16" i="4"/>
  <c r="U17" i="4"/>
  <c r="W17" i="4"/>
  <c r="U18" i="4"/>
  <c r="W18" i="4"/>
  <c r="U19" i="4"/>
  <c r="W19" i="4"/>
  <c r="U20" i="4"/>
  <c r="W20" i="4"/>
  <c r="W2" i="4"/>
  <c r="U2" i="4"/>
  <c r="B2" i="5"/>
</calcChain>
</file>

<file path=xl/sharedStrings.xml><?xml version="1.0" encoding="utf-8"?>
<sst xmlns="http://schemas.openxmlformats.org/spreadsheetml/2006/main" count="565" uniqueCount="166">
  <si>
    <t>Order ID</t>
  </si>
  <si>
    <t>Date</t>
  </si>
  <si>
    <t>Customer Name</t>
  </si>
  <si>
    <t>City</t>
  </si>
  <si>
    <t>Product Code</t>
  </si>
  <si>
    <t>Units</t>
  </si>
  <si>
    <t>Salesperson</t>
  </si>
  <si>
    <t>Payment Method</t>
  </si>
  <si>
    <t>HYD25-001</t>
  </si>
  <si>
    <t xml:space="preserve">  rahul sharma </t>
  </si>
  <si>
    <t>Hyderabad</t>
  </si>
  <si>
    <t>P101</t>
  </si>
  <si>
    <t>Rahul</t>
  </si>
  <si>
    <t>UPI</t>
  </si>
  <si>
    <t>MUM25-002</t>
  </si>
  <si>
    <t>Priya reddy</t>
  </si>
  <si>
    <t>Mumbai</t>
  </si>
  <si>
    <t>P102</t>
  </si>
  <si>
    <t>Priya</t>
  </si>
  <si>
    <t>Card</t>
  </si>
  <si>
    <t>DEL25-003</t>
  </si>
  <si>
    <t>AMAn khan</t>
  </si>
  <si>
    <t>Delhi</t>
  </si>
  <si>
    <t>P103</t>
  </si>
  <si>
    <t>Aman</t>
  </si>
  <si>
    <t>Cash</t>
  </si>
  <si>
    <t>HYD25-004</t>
  </si>
  <si>
    <t xml:space="preserve"> Sneha Rao</t>
  </si>
  <si>
    <t>P104</t>
  </si>
  <si>
    <t>MUM25-005</t>
  </si>
  <si>
    <t>Arjun  Mehta</t>
  </si>
  <si>
    <t>DEL25-006</t>
  </si>
  <si>
    <t>Ayesha ali</t>
  </si>
  <si>
    <t>P105</t>
  </si>
  <si>
    <t>Neha</t>
  </si>
  <si>
    <t>HYD25-007</t>
  </si>
  <si>
    <t xml:space="preserve">Rohit kumar </t>
  </si>
  <si>
    <t>MUM25-008</t>
  </si>
  <si>
    <t>Neha Verma</t>
  </si>
  <si>
    <t>P106</t>
  </si>
  <si>
    <t>DEL25-009</t>
  </si>
  <si>
    <t>kiran Rao</t>
  </si>
  <si>
    <t>HYD25-010</t>
  </si>
  <si>
    <t>Sana khan</t>
  </si>
  <si>
    <t>MUM25-011</t>
  </si>
  <si>
    <t>Vivek Patel</t>
  </si>
  <si>
    <t>DEL25-012</t>
  </si>
  <si>
    <t>Meera Singh</t>
  </si>
  <si>
    <t>HYD25-013</t>
  </si>
  <si>
    <t xml:space="preserve">  Farhan Ali</t>
  </si>
  <si>
    <t>MUM25-014</t>
  </si>
  <si>
    <t>Nisha Das</t>
  </si>
  <si>
    <t>DEL25-015</t>
  </si>
  <si>
    <t>Ravi Kumar</t>
  </si>
  <si>
    <t>HYD25-016</t>
  </si>
  <si>
    <t>Pooja Rao</t>
  </si>
  <si>
    <t>MUM25-017</t>
  </si>
  <si>
    <t>Imran Khan</t>
  </si>
  <si>
    <t>DEL25-018</t>
  </si>
  <si>
    <t>Divya Shah</t>
  </si>
  <si>
    <t>HYD25-019</t>
  </si>
  <si>
    <t xml:space="preserve">  Rahul Sharma </t>
  </si>
  <si>
    <t>MUM25-020</t>
  </si>
  <si>
    <t>Priya Reddy</t>
  </si>
  <si>
    <t>Product</t>
  </si>
  <si>
    <t>Category</t>
  </si>
  <si>
    <t>Unit Price</t>
  </si>
  <si>
    <t>Cost Per Unit</t>
  </si>
  <si>
    <t>Laptop Stand</t>
  </si>
  <si>
    <t>Accessories</t>
  </si>
  <si>
    <t>Wireless Mouse</t>
  </si>
  <si>
    <t>Keyboard</t>
  </si>
  <si>
    <t>Monitor</t>
  </si>
  <si>
    <t>Electronics</t>
  </si>
  <si>
    <t>Headset</t>
  </si>
  <si>
    <t>Webcam</t>
  </si>
  <si>
    <t>Region</t>
  </si>
  <si>
    <t>South</t>
  </si>
  <si>
    <t>West</t>
  </si>
  <si>
    <t>North</t>
  </si>
  <si>
    <t>Prefix</t>
  </si>
  <si>
    <t>Year</t>
  </si>
  <si>
    <t>Order Number</t>
  </si>
  <si>
    <t>Aman Khan</t>
  </si>
  <si>
    <t>Ayesha Ali</t>
  </si>
  <si>
    <t xml:space="preserve">Rohit Kumar </t>
  </si>
  <si>
    <t>Kiran Rao</t>
  </si>
  <si>
    <t>Sana Khan</t>
  </si>
  <si>
    <t>Customer name</t>
  </si>
  <si>
    <t>Product name</t>
  </si>
  <si>
    <t>Unit price</t>
  </si>
  <si>
    <t>Cost per unit</t>
  </si>
  <si>
    <t>Customer label</t>
  </si>
  <si>
    <t xml:space="preserve">Rahul Sharma </t>
  </si>
  <si>
    <t xml:space="preserve"> Farhan Ali</t>
  </si>
  <si>
    <t>Revenue</t>
  </si>
  <si>
    <t>Total cost</t>
  </si>
  <si>
    <t>Profit</t>
  </si>
  <si>
    <t>Profit margin</t>
  </si>
  <si>
    <t>Perfomance classification</t>
  </si>
  <si>
    <t>Transaction Review</t>
  </si>
  <si>
    <t>Total Revenue</t>
  </si>
  <si>
    <t>Total Profit</t>
  </si>
  <si>
    <t>Total Units Sold</t>
  </si>
  <si>
    <t>Number of Transactions</t>
  </si>
  <si>
    <t>Average Revenue per Transaction</t>
  </si>
  <si>
    <t>Average Profit per Transaction</t>
  </si>
  <si>
    <t>Row Labels</t>
  </si>
  <si>
    <t>Grand Total</t>
  </si>
  <si>
    <t>Sum of Profit</t>
  </si>
  <si>
    <t>Sum of Revenue</t>
  </si>
  <si>
    <t>Catogery</t>
  </si>
  <si>
    <t>Sum of Units</t>
  </si>
  <si>
    <t>HYD</t>
  </si>
  <si>
    <t>25</t>
  </si>
  <si>
    <t>001</t>
  </si>
  <si>
    <t>Rahul Sharma  - Hyderabad</t>
  </si>
  <si>
    <t>High Performance</t>
  </si>
  <si>
    <t>Normal</t>
  </si>
  <si>
    <t>MUM</t>
  </si>
  <si>
    <t>002</t>
  </si>
  <si>
    <t>Priya Reddy - Mumbai</t>
  </si>
  <si>
    <t>DEL</t>
  </si>
  <si>
    <t>003</t>
  </si>
  <si>
    <t>Aman Khan - Delhi</t>
  </si>
  <si>
    <t>020</t>
  </si>
  <si>
    <t>Regular</t>
  </si>
  <si>
    <t>005</t>
  </si>
  <si>
    <t>Arjun  Mehta - Mumbai</t>
  </si>
  <si>
    <t>019</t>
  </si>
  <si>
    <t>007</t>
  </si>
  <si>
    <t>Rohit Kumar  - Hyderabad</t>
  </si>
  <si>
    <t>015</t>
  </si>
  <si>
    <t>Ravi Kumar - Delhi</t>
  </si>
  <si>
    <t>014</t>
  </si>
  <si>
    <t>Nisha Das - Mumbai</t>
  </si>
  <si>
    <t>010</t>
  </si>
  <si>
    <t>Sana Khan - Hyderabad</t>
  </si>
  <si>
    <t>013</t>
  </si>
  <si>
    <t xml:space="preserve"> Farhan Ali - Hyderabad</t>
  </si>
  <si>
    <t>Details for Sum of Revenue - Catogery: Accessories</t>
  </si>
  <si>
    <t>1. Top Performing City</t>
  </si>
  <si>
    <r>
      <t>Insight:</t>
    </r>
    <r>
      <rPr>
        <sz val="11"/>
        <color theme="1"/>
        <rFont val="Calibri"/>
        <family val="2"/>
        <scheme val="minor"/>
      </rPr>
      <t xml:space="preserve"> Hyderabad generated the highest sales compared to Delhi and Mumbai.</t>
    </r>
  </si>
  <si>
    <r>
      <t>Business Meaning:</t>
    </r>
    <r>
      <rPr>
        <sz val="11"/>
        <color theme="1"/>
        <rFont val="Calibri"/>
        <family val="2"/>
        <scheme val="minor"/>
      </rPr>
      <t xml:space="preserve"> Since there is strong demand in Hyderabad, launching new products or increasing marketing efforts in this region will likely boost profits further.</t>
    </r>
  </si>
  <si>
    <t>2. Best Selling Product</t>
  </si>
  <si>
    <r>
      <t>Insight:</t>
    </r>
    <r>
      <rPr>
        <sz val="11"/>
        <color theme="1"/>
        <rFont val="Calibri"/>
        <family val="2"/>
        <scheme val="minor"/>
      </rPr>
      <t xml:space="preserve"> Products like Monitors and Laptop Stands are the top performers in terms of sales.</t>
    </r>
  </si>
  <si>
    <r>
      <t>Evidence:</t>
    </r>
    <r>
      <rPr>
        <sz val="11"/>
        <color theme="1"/>
        <rFont val="Calibri"/>
        <family val="2"/>
        <scheme val="minor"/>
      </rPr>
      <t xml:space="preserve"> The "Revenue by Product" chart indicates these items generated the highest revenue among all products.</t>
    </r>
  </si>
  <si>
    <r>
      <t>Business Meaning:</t>
    </r>
    <r>
      <rPr>
        <sz val="11"/>
        <color theme="1"/>
        <rFont val="Calibri"/>
        <family val="2"/>
        <scheme val="minor"/>
      </rPr>
      <t xml:space="preserve"> High demand for these items means we must ensure they are never out of stock to avoid losing potential sales.</t>
    </r>
  </si>
  <si>
    <t>3. Payment Method Trend</t>
  </si>
  <si>
    <r>
      <t>Insight:</t>
    </r>
    <r>
      <rPr>
        <sz val="11"/>
        <color theme="1"/>
        <rFont val="Calibri"/>
        <family val="2"/>
        <scheme val="minor"/>
      </rPr>
      <t xml:space="preserve"> Customers highly prefer digital payments (UPI and Card) over Cash.</t>
    </r>
  </si>
  <si>
    <r>
      <t>Business Meaning:</t>
    </r>
    <r>
      <rPr>
        <sz val="11"/>
        <color theme="1"/>
        <rFont val="Calibri"/>
        <family val="2"/>
        <scheme val="minor"/>
      </rPr>
      <t xml:space="preserve"> Offering small discounts or cashbacks on digital payments can further improve customer satisfaction and increase sales volume.</t>
    </r>
  </si>
  <si>
    <t>4. Salesperson Performance</t>
  </si>
  <si>
    <r>
      <t>Insight:</t>
    </r>
    <r>
      <rPr>
        <sz val="11"/>
        <color theme="1"/>
        <rFont val="Calibri"/>
        <family val="2"/>
        <scheme val="minor"/>
      </rPr>
      <t xml:space="preserve"> Neha and Rahul are the top-performing salespersons in the team.</t>
    </r>
  </si>
  <si>
    <r>
      <t>Evidence:</t>
    </r>
    <r>
      <rPr>
        <sz val="11"/>
        <color theme="1"/>
        <rFont val="Calibri"/>
        <family val="2"/>
        <scheme val="minor"/>
      </rPr>
      <t xml:space="preserve"> The "Revenue by Salesperson" data shows their contributions are the highest compared to others.</t>
    </r>
  </si>
  <si>
    <r>
      <t>Business Meaning:</t>
    </r>
    <r>
      <rPr>
        <sz val="11"/>
        <color theme="1"/>
        <rFont val="Calibri"/>
        <family val="2"/>
        <scheme val="minor"/>
      </rPr>
      <t xml:space="preserve"> Providing incentives or performance bonuses to top performers will motivate the entire team to achieve better sales targets.</t>
    </r>
  </si>
  <si>
    <t>5. Areas to Improve (Low Volume Products)</t>
  </si>
  <si>
    <r>
      <t>Evidence:</t>
    </r>
    <r>
      <rPr>
        <sz val="11"/>
        <color theme="1"/>
        <rFont val="Calibri"/>
        <family val="2"/>
        <scheme val="minor"/>
      </rPr>
      <t xml:space="preserve"> The "Units Sold by Product" chart shows items like Webcams have significantly lower sales figures.</t>
    </r>
  </si>
  <si>
    <r>
      <t>Business Meaning:</t>
    </r>
    <r>
      <rPr>
        <sz val="11"/>
        <color theme="1"/>
        <rFont val="Calibri"/>
        <family val="2"/>
        <scheme val="minor"/>
      </rPr>
      <t xml:space="preserve"> Introducing combo offers (e.g., buy a Monitor and get a discount on a Webcam) for slow-moving products can help clear inventory and increase overall sales.</t>
    </r>
  </si>
  <si>
    <t>Step 12: Final Business Summary</t>
  </si>
  <si>
    <r>
      <t>Evidence:</t>
    </r>
    <r>
      <rPr>
        <sz val="11"/>
        <color theme="1"/>
        <rFont val="Calibri"/>
        <family val="2"/>
        <scheme val="minor"/>
      </rPr>
      <t xml:space="preserve"> The "Revenue by City" Pivot chart shows Hyderabad at the top with a total revenue of [67000].</t>
    </r>
  </si>
  <si>
    <r>
      <t>Evidence:</t>
    </r>
    <r>
      <rPr>
        <sz val="11"/>
        <color theme="1"/>
        <rFont val="Calibri"/>
        <family val="2"/>
        <scheme val="minor"/>
      </rPr>
      <t xml:space="preserve"> The "Revenue by Payment Method" chart highlights that the majority of revenue came through UPI and Cards.</t>
    </r>
  </si>
  <si>
    <r>
      <t>Insight:</t>
    </r>
    <r>
      <rPr>
        <sz val="11"/>
        <color theme="1"/>
        <rFont val="Calibri"/>
        <family val="2"/>
        <scheme val="minor"/>
      </rPr>
      <t xml:space="preserve"> Certain products have low sales volume compared to the top sellers.</t>
    </r>
  </si>
  <si>
    <t>marketing in top cities, maintain strict inventory control for best-sellers, and introduce combo offers for slow-moving products to accelerate overall company growth.</t>
  </si>
  <si>
    <r>
      <t xml:space="preserve">The retail business has shown strong performance this period, generating a total revenue of </t>
    </r>
    <r>
      <rPr>
        <sz val="10"/>
        <color theme="1"/>
        <rFont val="Arial Unicode MS"/>
      </rPr>
      <t>[179600]</t>
    </r>
    <r>
      <rPr>
        <sz val="11"/>
        <color theme="1"/>
        <rFont val="Calibri"/>
        <family val="2"/>
        <scheme val="minor"/>
      </rPr>
      <t xml:space="preserve"> and a total profit of </t>
    </r>
    <r>
      <rPr>
        <sz val="10"/>
        <color theme="1"/>
        <rFont val="Arial Unicode MS"/>
      </rPr>
      <t>[59400]</t>
    </r>
    <r>
      <rPr>
        <sz val="11"/>
        <color theme="1"/>
        <rFont val="Calibri"/>
        <family val="2"/>
        <scheme val="minor"/>
      </rPr>
      <t>. Hyderabad emerged as the top-</t>
    </r>
  </si>
  <si>
    <t xml:space="preserve">performing region, while Monitors and Laptop Stands were the most successful products. Additionally, digital payments (UPI and Card) dominated the transactions, </t>
  </si>
  <si>
    <t xml:space="preserve">indicating a strong customer shift away from cash. While overall sales are excellent, certain products are moving slowly. It is recommended to increase targeted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</si>
</sst>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5"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2" fillId="0" borderId="0" xfId="0" applyFont="1"/>
    <xf numFmtId="0" fontId="0" fillId="0" borderId="0" xfId="0"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xf numFmtId="0" fontId="0" fillId="0" borderId="0" xfId="0" applyAlignment="1">
      <alignment horizontal="center"/>
    </xf>
  </cellXfs>
  <cellStyles count="2">
    <cellStyle name="Normal" xfId="0" builtinId="0"/>
    <cellStyle name="Percent" xfId="1" builtinId="5"/>
  </cellStyles>
  <dxfs count="1">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Dataset.xlsx]Pivot 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City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Analysis'!$A$4:$A$7</c:f>
              <c:strCache>
                <c:ptCount val="3"/>
                <c:pt idx="0">
                  <c:v>Delhi</c:v>
                </c:pt>
                <c:pt idx="1">
                  <c:v>Hyderabad</c:v>
                </c:pt>
                <c:pt idx="2">
                  <c:v>Mumbai</c:v>
                </c:pt>
              </c:strCache>
            </c:strRef>
          </c:cat>
          <c:val>
            <c:numRef>
              <c:f>'Pivot Analysis'!$B$4:$B$7</c:f>
              <c:numCache>
                <c:formatCode>General</c:formatCode>
                <c:ptCount val="3"/>
                <c:pt idx="0">
                  <c:v>49700</c:v>
                </c:pt>
                <c:pt idx="1">
                  <c:v>67000</c:v>
                </c:pt>
                <c:pt idx="2">
                  <c:v>62900</c:v>
                </c:pt>
              </c:numCache>
            </c:numRef>
          </c:val>
          <c:extLst>
            <c:ext xmlns:c16="http://schemas.microsoft.com/office/drawing/2014/chart" uri="{C3380CC4-5D6E-409C-BE32-E72D297353CC}">
              <c16:uniqueId val="{00000000-A320-4AE7-8A7A-FB2898FDE674}"/>
            </c:ext>
          </c:extLst>
        </c:ser>
        <c:dLbls>
          <c:dLblPos val="inEnd"/>
          <c:showLegendKey val="0"/>
          <c:showVal val="1"/>
          <c:showCatName val="0"/>
          <c:showSerName val="0"/>
          <c:showPercent val="0"/>
          <c:showBubbleSize val="0"/>
        </c:dLbls>
        <c:gapWidth val="65"/>
        <c:axId val="1894881775"/>
        <c:axId val="1894883215"/>
      </c:barChart>
      <c:catAx>
        <c:axId val="189488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4883215"/>
        <c:crosses val="autoZero"/>
        <c:auto val="1"/>
        <c:lblAlgn val="ctr"/>
        <c:lblOffset val="100"/>
        <c:noMultiLvlLbl val="0"/>
      </c:catAx>
      <c:valAx>
        <c:axId val="1894883215"/>
        <c:scaling>
          <c:orientation val="minMax"/>
        </c:scaling>
        <c:delete val="1"/>
        <c:axPos val="l"/>
        <c:numFmt formatCode="General" sourceLinked="1"/>
        <c:majorTickMark val="none"/>
        <c:minorTickMark val="none"/>
        <c:tickLblPos val="nextTo"/>
        <c:crossAx val="18948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Dataset.xlsx]Pivot Analysis!PivotTable2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Analysis'!$D$4:$D$7</c:f>
              <c:strCache>
                <c:ptCount val="3"/>
                <c:pt idx="0">
                  <c:v>Delhi</c:v>
                </c:pt>
                <c:pt idx="1">
                  <c:v>Hyderabad</c:v>
                </c:pt>
                <c:pt idx="2">
                  <c:v>Mumbai</c:v>
                </c:pt>
              </c:strCache>
            </c:strRef>
          </c:cat>
          <c:val>
            <c:numRef>
              <c:f>'Pivot Analysis'!$E$4:$E$7</c:f>
              <c:numCache>
                <c:formatCode>General</c:formatCode>
                <c:ptCount val="3"/>
                <c:pt idx="0">
                  <c:v>17400</c:v>
                </c:pt>
                <c:pt idx="1">
                  <c:v>21000</c:v>
                </c:pt>
                <c:pt idx="2">
                  <c:v>21000</c:v>
                </c:pt>
              </c:numCache>
            </c:numRef>
          </c:val>
          <c:smooth val="0"/>
          <c:extLst>
            <c:ext xmlns:c16="http://schemas.microsoft.com/office/drawing/2014/chart" uri="{C3380CC4-5D6E-409C-BE32-E72D297353CC}">
              <c16:uniqueId val="{00000000-858B-457F-BE39-C448D67571C0}"/>
            </c:ext>
          </c:extLst>
        </c:ser>
        <c:dLbls>
          <c:dLblPos val="t"/>
          <c:showLegendKey val="0"/>
          <c:showVal val="1"/>
          <c:showCatName val="0"/>
          <c:showSerName val="0"/>
          <c:showPercent val="0"/>
          <c:showBubbleSize val="0"/>
        </c:dLbls>
        <c:marker val="1"/>
        <c:smooth val="0"/>
        <c:axId val="1968724095"/>
        <c:axId val="1920724303"/>
      </c:lineChart>
      <c:catAx>
        <c:axId val="196872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24303"/>
        <c:crosses val="autoZero"/>
        <c:auto val="1"/>
        <c:lblAlgn val="ctr"/>
        <c:lblOffset val="100"/>
        <c:noMultiLvlLbl val="0"/>
      </c:catAx>
      <c:valAx>
        <c:axId val="192072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Dataset.xlsx]Pivot Analysis!PivotTable3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269001107849643E-2"/>
              <c:y val="1.8369204102798474E-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529385121588017"/>
              <c:y val="-0.3592648938425326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269001107849643E-2"/>
              <c:y val="1.8369204102798474E-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529385121588017"/>
              <c:y val="-0.3592648938425326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269001107849643E-2"/>
              <c:y val="1.8369204102798474E-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529385121588017"/>
              <c:y val="-0.3592648938425326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Analysis'!$H$9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67-4ED4-B396-ACDDA02EBB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67-4ED4-B396-ACDDA02EBBA7}"/>
              </c:ext>
            </c:extLst>
          </c:dPt>
          <c:dLbls>
            <c:dLbl>
              <c:idx val="0"/>
              <c:layout>
                <c:manualLayout>
                  <c:x val="-1.5269001107849643E-2"/>
                  <c:y val="1.8369204102798474E-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67-4ED4-B396-ACDDA02EBBA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Analysis'!$G$10:$G$11</c:f>
              <c:strCache>
                <c:ptCount val="1"/>
                <c:pt idx="0">
                  <c:v>Accessories</c:v>
                </c:pt>
              </c:strCache>
            </c:strRef>
          </c:cat>
          <c:val>
            <c:numRef>
              <c:f>'Pivot Analysis'!$H$10:$H$11</c:f>
              <c:numCache>
                <c:formatCode>General</c:formatCode>
                <c:ptCount val="1"/>
                <c:pt idx="0">
                  <c:v>10600</c:v>
                </c:pt>
              </c:numCache>
            </c:numRef>
          </c:val>
          <c:extLst>
            <c:ext xmlns:c16="http://schemas.microsoft.com/office/drawing/2014/chart" uri="{C3380CC4-5D6E-409C-BE32-E72D297353CC}">
              <c16:uniqueId val="{00000004-AB67-4ED4-B396-ACDDA02EBBA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Dataset.xlsx]Pivot Analysis!PivotTable5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Revenue by Salesperson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161350476433"/>
          <c:y val="0.15367296025544375"/>
          <c:w val="0.86858386495235673"/>
          <c:h val="0.76841351978205863"/>
        </c:manualLayout>
      </c:layout>
      <c:barChart>
        <c:barDir val="bar"/>
        <c:grouping val="clustered"/>
        <c:varyColors val="0"/>
        <c:ser>
          <c:idx val="0"/>
          <c:order val="0"/>
          <c:tx>
            <c:strRef>
              <c:f>'Pivot Analysis'!$E$14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Analysis'!$D$15:$D$19</c:f>
              <c:strCache>
                <c:ptCount val="4"/>
                <c:pt idx="0">
                  <c:v>Aman</c:v>
                </c:pt>
                <c:pt idx="1">
                  <c:v>Neha</c:v>
                </c:pt>
                <c:pt idx="2">
                  <c:v>Priya</c:v>
                </c:pt>
                <c:pt idx="3">
                  <c:v>Rahul</c:v>
                </c:pt>
              </c:strCache>
            </c:strRef>
          </c:cat>
          <c:val>
            <c:numRef>
              <c:f>'Pivot Analysis'!$E$15:$E$19</c:f>
              <c:numCache>
                <c:formatCode>General</c:formatCode>
                <c:ptCount val="4"/>
                <c:pt idx="0">
                  <c:v>13600</c:v>
                </c:pt>
                <c:pt idx="1">
                  <c:v>48200</c:v>
                </c:pt>
                <c:pt idx="2">
                  <c:v>56900</c:v>
                </c:pt>
                <c:pt idx="3">
                  <c:v>60900</c:v>
                </c:pt>
              </c:numCache>
            </c:numRef>
          </c:val>
          <c:extLst>
            <c:ext xmlns:c16="http://schemas.microsoft.com/office/drawing/2014/chart" uri="{C3380CC4-5D6E-409C-BE32-E72D297353CC}">
              <c16:uniqueId val="{00000000-BBBC-4B46-B15D-FEA3DDF65463}"/>
            </c:ext>
          </c:extLst>
        </c:ser>
        <c:dLbls>
          <c:dLblPos val="outEnd"/>
          <c:showLegendKey val="0"/>
          <c:showVal val="1"/>
          <c:showCatName val="0"/>
          <c:showSerName val="0"/>
          <c:showPercent val="0"/>
          <c:showBubbleSize val="0"/>
        </c:dLbls>
        <c:gapWidth val="115"/>
        <c:overlap val="-20"/>
        <c:axId val="2059171567"/>
        <c:axId val="2059167727"/>
      </c:barChart>
      <c:catAx>
        <c:axId val="2059171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9167727"/>
        <c:crosses val="autoZero"/>
        <c:auto val="1"/>
        <c:lblAlgn val="ctr"/>
        <c:lblOffset val="100"/>
        <c:noMultiLvlLbl val="0"/>
      </c:catAx>
      <c:valAx>
        <c:axId val="2059167727"/>
        <c:scaling>
          <c:orientation val="minMax"/>
        </c:scaling>
        <c:delete val="1"/>
        <c:axPos val="b"/>
        <c:numFmt formatCode="General" sourceLinked="1"/>
        <c:majorTickMark val="none"/>
        <c:minorTickMark val="none"/>
        <c:tickLblPos val="nextTo"/>
        <c:crossAx val="20591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428292</xdr:colOff>
      <xdr:row>1</xdr:row>
      <xdr:rowOff>160610</xdr:rowOff>
    </xdr:from>
    <xdr:to>
      <xdr:col>9</xdr:col>
      <xdr:colOff>597822</xdr:colOff>
      <xdr:row>14</xdr:row>
      <xdr:rowOff>169531</xdr:rowOff>
    </xdr:to>
    <xdr:graphicFrame macro="">
      <xdr:nvGraphicFramePr>
        <xdr:cNvPr id="2" name="Chart 1">
          <a:extLst>
            <a:ext uri="{FF2B5EF4-FFF2-40B4-BE49-F238E27FC236}">
              <a16:creationId xmlns:a16="http://schemas.microsoft.com/office/drawing/2014/main" id="{980E1305-0EA1-4144-BDD5-8F72295A7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196299</xdr:colOff>
      <xdr:row>1</xdr:row>
      <xdr:rowOff>110047</xdr:rowOff>
    </xdr:from>
    <xdr:to>
      <xdr:col>18</xdr:col>
      <xdr:colOff>178454</xdr:colOff>
      <xdr:row>14</xdr:row>
      <xdr:rowOff>133840</xdr:rowOff>
    </xdr:to>
    <xdr:graphicFrame macro="">
      <xdr:nvGraphicFramePr>
        <xdr:cNvPr id="3" name="Chart 2">
          <a:extLst>
            <a:ext uri="{FF2B5EF4-FFF2-40B4-BE49-F238E27FC236}">
              <a16:creationId xmlns:a16="http://schemas.microsoft.com/office/drawing/2014/main" id="{8CBCE380-4108-4DF7-9153-77A1D1B59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410445</xdr:colOff>
      <xdr:row>17</xdr:row>
      <xdr:rowOff>26767</xdr:rowOff>
    </xdr:from>
    <xdr:to>
      <xdr:col>9</xdr:col>
      <xdr:colOff>642434</xdr:colOff>
      <xdr:row>32</xdr:row>
      <xdr:rowOff>89226</xdr:rowOff>
    </xdr:to>
    <xdr:graphicFrame macro="">
      <xdr:nvGraphicFramePr>
        <xdr:cNvPr id="4" name="Chart 3">
          <a:extLst>
            <a:ext uri="{FF2B5EF4-FFF2-40B4-BE49-F238E27FC236}">
              <a16:creationId xmlns:a16="http://schemas.microsoft.com/office/drawing/2014/main" id="{CEF64A0F-076C-42A6-94AA-A45F28887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240915</xdr:colOff>
      <xdr:row>17</xdr:row>
      <xdr:rowOff>35690</xdr:rowOff>
    </xdr:from>
    <xdr:to>
      <xdr:col>18</xdr:col>
      <xdr:colOff>251409</xdr:colOff>
      <xdr:row>31</xdr:row>
      <xdr:rowOff>183432</xdr:rowOff>
    </xdr:to>
    <xdr:graphicFrame macro="">
      <xdr:nvGraphicFramePr>
        <xdr:cNvPr id="5" name="Chart 4">
          <a:extLst>
            <a:ext uri="{FF2B5EF4-FFF2-40B4-BE49-F238E27FC236}">
              <a16:creationId xmlns:a16="http://schemas.microsoft.com/office/drawing/2014/main" id="{AE3504A6-157D-4602-A1E6-ED8E9E0F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41222</xdr:colOff>
      <xdr:row>1</xdr:row>
      <xdr:rowOff>168997</xdr:rowOff>
    </xdr:from>
    <xdr:to>
      <xdr:col>3</xdr:col>
      <xdr:colOff>517518</xdr:colOff>
      <xdr:row>8</xdr:row>
      <xdr:rowOff>26769</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65BC357F-1FF6-2FCD-1748-606122115B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94365" y="354054"/>
              <a:ext cx="1782582" cy="115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154362</xdr:colOff>
      <xdr:row>17</xdr:row>
      <xdr:rowOff>67991</xdr:rowOff>
    </xdr:from>
    <xdr:to>
      <xdr:col>4</xdr:col>
      <xdr:colOff>8923</xdr:colOff>
      <xdr:row>22</xdr:row>
      <xdr:rowOff>44614</xdr:rowOff>
    </xdr:to>
    <mc:AlternateContent xmlns:mc="http://schemas.openxmlformats.org/markup-compatibility/2006">
      <mc:Choice xmlns:a14="http://schemas.microsoft.com/office/drawing/2010/main" Requires="a14">
        <xdr:graphicFrame macro="">
          <xdr:nvGraphicFramePr>
            <xdr:cNvPr id="7" name="Catogery">
              <a:extLst>
                <a:ext uri="{FF2B5EF4-FFF2-40B4-BE49-F238E27FC236}">
                  <a16:creationId xmlns:a16="http://schemas.microsoft.com/office/drawing/2014/main" id="{C13E865C-4C5E-9920-70DA-9ABCFDCD29E8}"/>
                </a:ext>
              </a:extLst>
            </xdr:cNvPr>
            <xdr:cNvGraphicFramePr/>
          </xdr:nvGraphicFramePr>
          <xdr:xfrm>
            <a:off x="0" y="0"/>
            <a:ext cx="0" cy="0"/>
          </xdr:xfrm>
          <a:graphic>
            <a:graphicData uri="http://schemas.microsoft.com/office/drawing/2010/slicer">
              <sle:slicer xmlns:sle="http://schemas.microsoft.com/office/drawing/2010/slicer" name="Catogery"/>
            </a:graphicData>
          </a:graphic>
        </xdr:graphicFrame>
      </mc:Choice>
      <mc:Fallback>
        <xdr:sp macro="" textlink="">
          <xdr:nvSpPr>
            <xdr:cNvPr id="0" name=""/>
            <xdr:cNvSpPr>
              <a:spLocks noTextEdit="1"/>
            </xdr:cNvSpPr>
          </xdr:nvSpPr>
          <xdr:spPr>
            <a:xfrm>
              <a:off x="807505" y="3213962"/>
              <a:ext cx="1813989" cy="901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303193</xdr:colOff>
      <xdr:row>18</xdr:row>
      <xdr:rowOff>20521</xdr:rowOff>
    </xdr:from>
    <xdr:to>
      <xdr:col>22</xdr:col>
      <xdr:colOff>160608</xdr:colOff>
      <xdr:row>25</xdr:row>
      <xdr:rowOff>98150</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7A2D583E-4357-9795-56CF-7EFDA350CC8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712907" y="3351550"/>
              <a:ext cx="1816844" cy="1373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184343</xdr:colOff>
      <xdr:row>1</xdr:row>
      <xdr:rowOff>97971</xdr:rowOff>
    </xdr:from>
    <xdr:to>
      <xdr:col>22</xdr:col>
      <xdr:colOff>53535</xdr:colOff>
      <xdr:row>7</xdr:row>
      <xdr:rowOff>133841</xdr:rowOff>
    </xdr:to>
    <mc:AlternateContent xmlns:mc="http://schemas.openxmlformats.org/markup-compatibility/2006">
      <mc:Choice xmlns:a14="http://schemas.microsoft.com/office/drawing/2010/main" Requires="a14">
        <xdr:graphicFrame macro="">
          <xdr:nvGraphicFramePr>
            <xdr:cNvPr id="9" name="Payment Method">
              <a:extLst>
                <a:ext uri="{FF2B5EF4-FFF2-40B4-BE49-F238E27FC236}">
                  <a16:creationId xmlns:a16="http://schemas.microsoft.com/office/drawing/2014/main" id="{2B0C3209-66B1-B122-7DBB-6BE173C1949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594057" y="283028"/>
              <a:ext cx="1828621" cy="1146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hi srinath" refreshedDate="46317.87685335648" createdVersion="8" refreshedVersion="8" minRefreshableVersion="3" recordCount="19" xr:uid="{35745BA8-6ED0-4AEC-9356-94836118C62C}">
  <cacheSource type="worksheet">
    <worksheetSource ref="A1:W20" sheet="Clean data"/>
  </cacheSource>
  <cacheFields count="23">
    <cacheField name="Order ID" numFmtId="0">
      <sharedItems/>
    </cacheField>
    <cacheField name="Prefix" numFmtId="0">
      <sharedItems/>
    </cacheField>
    <cacheField name="Year" numFmtId="0">
      <sharedItems/>
    </cacheField>
    <cacheField name="Order Number" numFmtId="0">
      <sharedItems/>
    </cacheField>
    <cacheField name="Date" numFmtId="15">
      <sharedItems containsSemiMixedTypes="0" containsNonDate="0" containsDate="1" containsString="0" minDate="2025-01-05T00:00:00" maxDate="2025-01-25T00:00:00"/>
    </cacheField>
    <cacheField name="Customer name" numFmtId="0">
      <sharedItems/>
    </cacheField>
    <cacheField name="City" numFmtId="0">
      <sharedItems count="3">
        <s v="Hyderabad"/>
        <s v="Mumbai"/>
        <s v="Delhi"/>
      </sharedItems>
    </cacheField>
    <cacheField name="Region" numFmtId="0">
      <sharedItems/>
    </cacheField>
    <cacheField name="Customer label" numFmtId="0">
      <sharedItems/>
    </cacheField>
    <cacheField name="Product Code" numFmtId="0">
      <sharedItems/>
    </cacheField>
    <cacheField name="Product name" numFmtId="0">
      <sharedItems count="6">
        <s v="Laptop Stand"/>
        <s v="Wireless Mouse"/>
        <s v="Keyboard"/>
        <s v="Monitor"/>
        <s v="Headset"/>
        <s v="Webcam"/>
      </sharedItems>
    </cacheField>
    <cacheField name="Catogery" numFmtId="0">
      <sharedItems count="2">
        <s v="Accessories"/>
        <s v="Electronics"/>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800" maxValue="12000"/>
    </cacheField>
    <cacheField name="Cost per unit" numFmtId="0">
      <sharedItems containsSemiMixedTypes="0" containsString="0" containsNumber="1" containsInteger="1" minValue="450" maxValue="8500"/>
    </cacheField>
    <cacheField name="Salesperson" numFmtId="0">
      <sharedItems count="4">
        <s v="Rahul"/>
        <s v="Priya"/>
        <s v="Aman"/>
        <s v="Neha"/>
      </sharedItems>
    </cacheField>
    <cacheField name="Payment Method" numFmtId="0">
      <sharedItems count="3">
        <s v="UPI"/>
        <s v="Card"/>
        <s v="Cash"/>
      </sharedItems>
    </cacheField>
    <cacheField name="Revenue" numFmtId="0">
      <sharedItems containsSemiMixedTypes="0" containsString="0" containsNumber="1" containsInteger="1" minValue="800" maxValue="48000"/>
    </cacheField>
    <cacheField name="Total cost" numFmtId="0">
      <sharedItems containsSemiMixedTypes="0" containsString="0" containsNumber="1" containsInteger="1" minValue="450" maxValue="34000"/>
    </cacheField>
    <cacheField name="Profit" numFmtId="0">
      <sharedItems containsSemiMixedTypes="0" containsString="0" containsNumber="1" containsInteger="1" minValue="350" maxValue="14000"/>
    </cacheField>
    <cacheField name="Profit margin" numFmtId="9">
      <sharedItems containsSemiMixedTypes="0" containsString="0" containsNumber="1" minValue="0.29166666666666669" maxValue="0.4375"/>
    </cacheField>
    <cacheField name="Perfomance classification" numFmtId="0">
      <sharedItems/>
    </cacheField>
    <cacheField name="Transaction Review" numFmtId="0">
      <sharedItems/>
    </cacheField>
  </cacheFields>
  <extLst>
    <ext xmlns:x14="http://schemas.microsoft.com/office/spreadsheetml/2009/9/main" uri="{725AE2AE-9491-48be-B2B4-4EB974FC3084}">
      <x14:pivotCacheDefinition pivotCacheId="649835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HYD25-001"/>
    <s v="HYD"/>
    <s v="25"/>
    <s v="001"/>
    <d v="2025-01-05T00:00:00"/>
    <s v="Rahul Sharma "/>
    <x v="0"/>
    <s v="South"/>
    <s v="Rahul Sharma  - Hyderabad"/>
    <s v="P101"/>
    <x v="0"/>
    <x v="0"/>
    <n v="2"/>
    <n v="1200"/>
    <n v="800"/>
    <x v="0"/>
    <x v="0"/>
    <n v="2400"/>
    <n v="1600"/>
    <n v="800"/>
    <n v="0.33333333333333331"/>
    <s v="High Performance"/>
    <s v="Normal"/>
  </r>
  <r>
    <s v="MUM25-002"/>
    <s v="MUM"/>
    <s v="25"/>
    <s v="002"/>
    <d v="2025-01-06T00:00:00"/>
    <s v="Priya Reddy"/>
    <x v="1"/>
    <s v="West"/>
    <s v="Priya Reddy - Mumbai"/>
    <s v="P102"/>
    <x v="1"/>
    <x v="0"/>
    <n v="3"/>
    <n v="800"/>
    <n v="450"/>
    <x v="1"/>
    <x v="1"/>
    <n v="2400"/>
    <n v="1350"/>
    <n v="1050"/>
    <n v="0.4375"/>
    <s v="High Performance"/>
    <s v="Normal"/>
  </r>
  <r>
    <s v="DEL25-003"/>
    <s v="DEL"/>
    <s v="25"/>
    <s v="003"/>
    <d v="2025-01-07T00:00:00"/>
    <s v="Aman Khan"/>
    <x v="2"/>
    <s v="North"/>
    <s v="Aman Khan - Delhi"/>
    <s v="P103"/>
    <x v="2"/>
    <x v="0"/>
    <n v="1"/>
    <n v="1500"/>
    <n v="900"/>
    <x v="2"/>
    <x v="2"/>
    <n v="1500"/>
    <n v="900"/>
    <n v="600"/>
    <n v="0.4"/>
    <s v="High Performance"/>
    <s v="Normal"/>
  </r>
  <r>
    <s v="HYD25-004"/>
    <s v="HYD"/>
    <s v="25"/>
    <s v="004"/>
    <d v="2025-01-08T00:00:00"/>
    <s v=" Sneha Rao"/>
    <x v="0"/>
    <s v="South"/>
    <s v=" Sneha Rao - Hyderabad"/>
    <s v="P104"/>
    <x v="3"/>
    <x v="1"/>
    <n v="4"/>
    <n v="12000"/>
    <n v="8500"/>
    <x v="0"/>
    <x v="0"/>
    <n v="48000"/>
    <n v="34000"/>
    <n v="14000"/>
    <n v="0.29166666666666669"/>
    <s v="High Performance"/>
    <s v="Normal"/>
  </r>
  <r>
    <s v="MUM25-005"/>
    <s v="MUM"/>
    <s v="25"/>
    <s v="005"/>
    <d v="2025-01-09T00:00:00"/>
    <s v="Arjun  Mehta"/>
    <x v="1"/>
    <s v="West"/>
    <s v="Arjun  Mehta - Mumbai"/>
    <s v="P101"/>
    <x v="0"/>
    <x v="0"/>
    <n v="1"/>
    <n v="1200"/>
    <n v="800"/>
    <x v="1"/>
    <x v="1"/>
    <n v="1200"/>
    <n v="800"/>
    <n v="400"/>
    <n v="0.33333333333333331"/>
    <s v="High Performance"/>
    <s v="Normal"/>
  </r>
  <r>
    <s v="DEL25-006"/>
    <s v="DEL"/>
    <s v="25"/>
    <s v="006"/>
    <d v="2025-01-10T00:00:00"/>
    <s v="Ayesha Ali"/>
    <x v="2"/>
    <s v="North"/>
    <s v="Ayesha Ali - Delhi"/>
    <s v="P105"/>
    <x v="4"/>
    <x v="1"/>
    <n v="5"/>
    <n v="3000"/>
    <n v="1800"/>
    <x v="3"/>
    <x v="0"/>
    <n v="15000"/>
    <n v="9000"/>
    <n v="6000"/>
    <n v="0.4"/>
    <s v="High Performance"/>
    <s v="Normal"/>
  </r>
  <r>
    <s v="HYD25-007"/>
    <s v="HYD"/>
    <s v="25"/>
    <s v="007"/>
    <d v="2025-01-11T00:00:00"/>
    <s v="Rohit Kumar "/>
    <x v="0"/>
    <s v="South"/>
    <s v="Rohit Kumar  - Hyderabad"/>
    <s v="P102"/>
    <x v="1"/>
    <x v="0"/>
    <n v="2"/>
    <n v="800"/>
    <n v="450"/>
    <x v="2"/>
    <x v="2"/>
    <n v="1600"/>
    <n v="900"/>
    <n v="700"/>
    <n v="0.4375"/>
    <s v="High Performance"/>
    <s v="Normal"/>
  </r>
  <r>
    <s v="MUM25-008"/>
    <s v="MUM"/>
    <s v="25"/>
    <s v="008"/>
    <d v="2025-01-12T00:00:00"/>
    <s v="Neha Verma"/>
    <x v="1"/>
    <s v="West"/>
    <s v="Neha Verma - Mumbai"/>
    <s v="P106"/>
    <x v="5"/>
    <x v="1"/>
    <n v="3"/>
    <n v="4500"/>
    <n v="2800"/>
    <x v="1"/>
    <x v="1"/>
    <n v="13500"/>
    <n v="8400"/>
    <n v="5100"/>
    <n v="0.37777777777777777"/>
    <s v="High Performance"/>
    <s v="Normal"/>
  </r>
  <r>
    <s v="DEL25-009"/>
    <s v="DEL"/>
    <s v="25"/>
    <s v="009"/>
    <d v="2025-01-13T00:00:00"/>
    <s v="Kiran Rao"/>
    <x v="2"/>
    <s v="North"/>
    <s v="Kiran Rao - Delhi"/>
    <s v="P104"/>
    <x v="3"/>
    <x v="1"/>
    <n v="2"/>
    <n v="12000"/>
    <n v="8500"/>
    <x v="3"/>
    <x v="0"/>
    <n v="24000"/>
    <n v="17000"/>
    <n v="7000"/>
    <n v="0.29166666666666669"/>
    <s v="High Performance"/>
    <s v="Normal"/>
  </r>
  <r>
    <s v="HYD25-010"/>
    <s v="HYD"/>
    <s v="25"/>
    <s v="010"/>
    <d v="2025-01-14T00:00:00"/>
    <s v="Sana Khan"/>
    <x v="0"/>
    <s v="South"/>
    <s v="Sana Khan - Hyderabad"/>
    <s v="P103"/>
    <x v="2"/>
    <x v="0"/>
    <n v="3"/>
    <n v="1500"/>
    <n v="900"/>
    <x v="0"/>
    <x v="2"/>
    <n v="4500"/>
    <n v="2700"/>
    <n v="1800"/>
    <n v="0.4"/>
    <s v="High Performance"/>
    <s v="Normal"/>
  </r>
  <r>
    <s v="MUM25-011"/>
    <s v="MUM"/>
    <s v="25"/>
    <s v="011"/>
    <d v="2025-01-15T00:00:00"/>
    <s v="Vivek Patel"/>
    <x v="1"/>
    <s v="West"/>
    <s v="Vivek Patel - Mumbai"/>
    <s v="P105"/>
    <x v="4"/>
    <x v="1"/>
    <n v="2"/>
    <n v="3000"/>
    <n v="1800"/>
    <x v="2"/>
    <x v="0"/>
    <n v="6000"/>
    <n v="3600"/>
    <n v="2400"/>
    <n v="0.4"/>
    <s v="High Performance"/>
    <s v="Normal"/>
  </r>
  <r>
    <s v="HYD25-013"/>
    <s v="HYD"/>
    <s v="25"/>
    <s v="013"/>
    <d v="2025-01-17T00:00:00"/>
    <s v=" Farhan Ali"/>
    <x v="0"/>
    <s v="South"/>
    <s v=" Farhan Ali - Hyderabad"/>
    <s v="P101"/>
    <x v="0"/>
    <x v="0"/>
    <n v="3"/>
    <n v="1200"/>
    <n v="800"/>
    <x v="0"/>
    <x v="0"/>
    <n v="3600"/>
    <n v="2400"/>
    <n v="1200"/>
    <n v="0.33333333333333331"/>
    <s v="High Performance"/>
    <s v="Normal"/>
  </r>
  <r>
    <s v="MUM25-014"/>
    <s v="MUM"/>
    <s v="25"/>
    <s v="014"/>
    <d v="2025-01-18T00:00:00"/>
    <s v="Nisha Das"/>
    <x v="1"/>
    <s v="West"/>
    <s v="Nisha Das - Mumbai"/>
    <s v="P103"/>
    <x v="2"/>
    <x v="0"/>
    <n v="2"/>
    <n v="1500"/>
    <n v="900"/>
    <x v="1"/>
    <x v="2"/>
    <n v="3000"/>
    <n v="1800"/>
    <n v="1200"/>
    <n v="0.4"/>
    <s v="High Performance"/>
    <s v="Normal"/>
  </r>
  <r>
    <s v="DEL25-015"/>
    <s v="DEL"/>
    <s v="25"/>
    <s v="015"/>
    <d v="2025-01-19T00:00:00"/>
    <s v="Ravi Kumar"/>
    <x v="2"/>
    <s v="North"/>
    <s v="Ravi Kumar - Delhi"/>
    <s v="P102"/>
    <x v="1"/>
    <x v="0"/>
    <n v="4"/>
    <n v="800"/>
    <n v="450"/>
    <x v="3"/>
    <x v="1"/>
    <n v="3200"/>
    <n v="1800"/>
    <n v="1400"/>
    <n v="0.4375"/>
    <s v="High Performance"/>
    <s v="Normal"/>
  </r>
  <r>
    <s v="HYD25-016"/>
    <s v="HYD"/>
    <s v="25"/>
    <s v="016"/>
    <d v="2025-01-20T00:00:00"/>
    <s v="Pooja Rao"/>
    <x v="0"/>
    <s v="South"/>
    <s v="Pooja Rao - Hyderabad"/>
    <s v="P106"/>
    <x v="5"/>
    <x v="1"/>
    <n v="1"/>
    <n v="4500"/>
    <n v="2800"/>
    <x v="2"/>
    <x v="0"/>
    <n v="4500"/>
    <n v="2800"/>
    <n v="1700"/>
    <n v="0.37777777777777777"/>
    <s v="High Performance"/>
    <s v="Normal"/>
  </r>
  <r>
    <s v="MUM25-017"/>
    <s v="MUM"/>
    <s v="25"/>
    <s v="017"/>
    <d v="2025-01-21T00:00:00"/>
    <s v="Imran Khan"/>
    <x v="1"/>
    <s v="West"/>
    <s v="Imran Khan - Mumbai"/>
    <s v="P104"/>
    <x v="3"/>
    <x v="1"/>
    <n v="3"/>
    <n v="12000"/>
    <n v="8500"/>
    <x v="1"/>
    <x v="1"/>
    <n v="36000"/>
    <n v="25500"/>
    <n v="10500"/>
    <n v="0.29166666666666669"/>
    <s v="High Performance"/>
    <s v="Normal"/>
  </r>
  <r>
    <s v="DEL25-018"/>
    <s v="DEL"/>
    <s v="25"/>
    <s v="018"/>
    <d v="2025-01-22T00:00:00"/>
    <s v="Divya Shah"/>
    <x v="2"/>
    <s v="North"/>
    <s v="Divya Shah - Delhi"/>
    <s v="P105"/>
    <x v="4"/>
    <x v="1"/>
    <n v="2"/>
    <n v="3000"/>
    <n v="1800"/>
    <x v="3"/>
    <x v="0"/>
    <n v="6000"/>
    <n v="3600"/>
    <n v="2400"/>
    <n v="0.4"/>
    <s v="High Performance"/>
    <s v="Normal"/>
  </r>
  <r>
    <s v="HYD25-019"/>
    <s v="HYD"/>
    <s v="25"/>
    <s v="019"/>
    <d v="2025-01-23T00:00:00"/>
    <s v="Rahul Sharma "/>
    <x v="0"/>
    <s v="South"/>
    <s v="Rahul Sharma  - Hyderabad"/>
    <s v="P101"/>
    <x v="0"/>
    <x v="0"/>
    <n v="2"/>
    <n v="1200"/>
    <n v="800"/>
    <x v="0"/>
    <x v="0"/>
    <n v="2400"/>
    <n v="1600"/>
    <n v="800"/>
    <n v="0.33333333333333331"/>
    <s v="High Performance"/>
    <s v="Normal"/>
  </r>
  <r>
    <s v="MUM25-020"/>
    <s v="MUM"/>
    <s v="25"/>
    <s v="020"/>
    <d v="2025-01-24T00:00:00"/>
    <s v="Priya Reddy"/>
    <x v="1"/>
    <s v="West"/>
    <s v="Priya Reddy - Mumbai"/>
    <s v="P102"/>
    <x v="1"/>
    <x v="0"/>
    <n v="1"/>
    <n v="800"/>
    <n v="450"/>
    <x v="1"/>
    <x v="1"/>
    <n v="800"/>
    <n v="450"/>
    <n v="350"/>
    <n v="0.4375"/>
    <s v="Regular"/>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0BD81-D756-4F62-8256-B257BF17D3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23">
    <pivotField showAll="0"/>
    <pivotField showAll="0"/>
    <pivotField showAll="0"/>
    <pivotField showAll="0"/>
    <pivotField numFmtId="15" showAll="0"/>
    <pivotField showAll="0"/>
    <pivotField showAll="0">
      <items count="4">
        <item x="2"/>
        <item x="0"/>
        <item x="1"/>
        <item t="default"/>
      </items>
    </pivotField>
    <pivotField showAll="0"/>
    <pivotField showAll="0"/>
    <pivotField showAll="0"/>
    <pivotField showAll="0">
      <items count="7">
        <item x="4"/>
        <item x="2"/>
        <item x="0"/>
        <item x="3"/>
        <item x="5"/>
        <item x="1"/>
        <item t="default"/>
      </items>
    </pivotField>
    <pivotField showAll="0">
      <items count="3">
        <item x="0"/>
        <item x="1"/>
        <item t="default"/>
      </items>
    </pivotField>
    <pivotField dataField="1" showAll="0"/>
    <pivotField showAll="0"/>
    <pivotField showAll="0"/>
    <pivotField showAll="0">
      <items count="5">
        <item x="2"/>
        <item x="3"/>
        <item x="1"/>
        <item x="0"/>
        <item t="default"/>
      </items>
    </pivotField>
    <pivotField axis="axisRow" showAll="0">
      <items count="4">
        <item x="1"/>
        <item x="2"/>
        <item x="0"/>
        <item t="default"/>
      </items>
    </pivotField>
    <pivotField showAll="0"/>
    <pivotField showAll="0"/>
    <pivotField showAll="0"/>
    <pivotField numFmtId="9" showAll="0"/>
    <pivotField showAll="0"/>
    <pivotField showAll="0"/>
  </pivotFields>
  <rowFields count="1">
    <field x="16"/>
  </rowFields>
  <rowItems count="4">
    <i>
      <x/>
    </i>
    <i>
      <x v="1"/>
    </i>
    <i>
      <x v="2"/>
    </i>
    <i t="grand">
      <x/>
    </i>
  </rowItems>
  <colItems count="1">
    <i/>
  </colItems>
  <dataFields count="1">
    <dataField name="Sum of Uni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F2BA4-CC51-442E-A4E8-8328CF27E9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7" firstHeaderRow="1" firstDataRow="1" firstDataCol="1"/>
  <pivotFields count="23">
    <pivotField showAll="0"/>
    <pivotField showAll="0"/>
    <pivotField showAll="0"/>
    <pivotField showAll="0"/>
    <pivotField numFmtId="15"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s>
  <rowFields count="1">
    <field x="6"/>
  </rowFields>
  <rowItems count="4">
    <i>
      <x/>
    </i>
    <i>
      <x v="1"/>
    </i>
    <i>
      <x v="2"/>
    </i>
    <i t="grand">
      <x/>
    </i>
  </rowItems>
  <colItems count="1">
    <i/>
  </colItems>
  <dataFields count="1">
    <dataField name="Sum of Profit" fld="1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8EB0E-E33A-4BEA-8100-A437490BA6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3">
    <pivotField showAll="0"/>
    <pivotField showAll="0"/>
    <pivotField showAll="0"/>
    <pivotField showAll="0"/>
    <pivotField numFmtId="15"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s>
  <rowFields count="1">
    <field x="6"/>
  </rowFields>
  <rowItems count="4">
    <i>
      <x/>
    </i>
    <i>
      <x v="1"/>
    </i>
    <i>
      <x v="2"/>
    </i>
    <i t="grand">
      <x/>
    </i>
  </rowItems>
  <colItems count="1">
    <i/>
  </colItems>
  <dataFields count="1">
    <dataField name="Sum of Revenu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224284-7461-4B28-9460-B83865DFE60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19" firstHeaderRow="1" firstDataRow="1" firstDataCol="1"/>
  <pivotFields count="23">
    <pivotField showAll="0"/>
    <pivotField showAll="0"/>
    <pivotField showAll="0"/>
    <pivotField showAll="0"/>
    <pivotField numFmtId="15" showAll="0"/>
    <pivotField showAll="0"/>
    <pivotField showAll="0">
      <items count="4">
        <item x="2"/>
        <item x="0"/>
        <item x="1"/>
        <item t="default"/>
      </items>
    </pivotField>
    <pivotField showAll="0"/>
    <pivotField showAll="0"/>
    <pivotField showAll="0"/>
    <pivotField showAll="0">
      <items count="7">
        <item x="4"/>
        <item x="2"/>
        <item x="0"/>
        <item x="3"/>
        <item x="5"/>
        <item x="1"/>
        <item t="default"/>
      </items>
    </pivotField>
    <pivotField showAll="0">
      <items count="3">
        <item x="0"/>
        <item x="1"/>
        <item t="default"/>
      </items>
    </pivotField>
    <pivotField showAll="0"/>
    <pivotField showAll="0"/>
    <pivotField showAll="0"/>
    <pivotField showAll="0">
      <items count="5">
        <item x="2"/>
        <item x="3"/>
        <item x="1"/>
        <item x="0"/>
        <item t="default"/>
      </items>
    </pivotField>
    <pivotField axis="axisRow" showAll="0">
      <items count="4">
        <item x="1"/>
        <item x="2"/>
        <item x="0"/>
        <item t="default"/>
      </items>
    </pivotField>
    <pivotField dataField="1" showAll="0"/>
    <pivotField showAll="0"/>
    <pivotField showAll="0"/>
    <pivotField numFmtId="9" showAll="0"/>
    <pivotField showAll="0"/>
    <pivotField showAll="0"/>
  </pivotFields>
  <rowFields count="1">
    <field x="16"/>
  </rowFields>
  <rowItems count="4">
    <i>
      <x/>
    </i>
    <i>
      <x v="1"/>
    </i>
    <i>
      <x v="2"/>
    </i>
    <i t="grand">
      <x/>
    </i>
  </rowItems>
  <colItems count="1">
    <i/>
  </colItems>
  <dataFields count="1">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A9494F-F127-49D4-BD4C-57DA05DF3D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19" firstHeaderRow="1" firstDataRow="1" firstDataCol="1"/>
  <pivotFields count="23">
    <pivotField showAll="0"/>
    <pivotField showAll="0"/>
    <pivotField showAll="0"/>
    <pivotField showAll="0"/>
    <pivotField numFmtId="15" showAll="0"/>
    <pivotField showAll="0"/>
    <pivotField showAll="0">
      <items count="4">
        <item x="2"/>
        <item x="0"/>
        <item x="1"/>
        <item t="default"/>
      </items>
    </pivotField>
    <pivotField showAll="0"/>
    <pivotField showAll="0"/>
    <pivotField showAll="0"/>
    <pivotField showAll="0">
      <items count="7">
        <item x="4"/>
        <item x="2"/>
        <item x="0"/>
        <item x="3"/>
        <item x="5"/>
        <item x="1"/>
        <item t="default"/>
      </items>
    </pivotField>
    <pivotField showAll="0">
      <items count="3">
        <item x="0"/>
        <item x="1"/>
        <item t="default"/>
      </items>
    </pivotField>
    <pivotField showAll="0"/>
    <pivotField showAll="0"/>
    <pivotField showAll="0"/>
    <pivotField axis="axisRow" showAll="0">
      <items count="5">
        <item x="2"/>
        <item x="3"/>
        <item x="1"/>
        <item x="0"/>
        <item t="default"/>
      </items>
    </pivotField>
    <pivotField showAll="0"/>
    <pivotField dataField="1" showAll="0"/>
    <pivotField showAll="0"/>
    <pivotField showAll="0"/>
    <pivotField numFmtId="9" showAll="0"/>
    <pivotField showAll="0"/>
    <pivotField showAll="0"/>
  </pivotFields>
  <rowFields count="1">
    <field x="15"/>
  </rowFields>
  <rowItems count="5">
    <i>
      <x/>
    </i>
    <i>
      <x v="1"/>
    </i>
    <i>
      <x v="2"/>
    </i>
    <i>
      <x v="3"/>
    </i>
    <i t="grand">
      <x/>
    </i>
  </rowItems>
  <colItems count="1">
    <i/>
  </colItems>
  <dataFields count="1">
    <dataField name="Sum of Revenue"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FE9C3F-E64F-4C72-8157-CCBD329B52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9" firstHeaderRow="1" firstDataRow="1" firstDataCol="1"/>
  <pivotFields count="23">
    <pivotField showAll="0"/>
    <pivotField showAll="0"/>
    <pivotField showAll="0"/>
    <pivotField showAll="0"/>
    <pivotField numFmtId="15" showAll="0"/>
    <pivotField showAll="0"/>
    <pivotField showAll="0">
      <items count="4">
        <item x="2"/>
        <item x="0"/>
        <item x="1"/>
        <item t="default"/>
      </items>
    </pivotField>
    <pivotField showAll="0"/>
    <pivotField showAll="0"/>
    <pivotField showAll="0"/>
    <pivotField axis="axisRow" showAll="0">
      <items count="7">
        <item x="4"/>
        <item x="2"/>
        <item x="0"/>
        <item x="3"/>
        <item x="5"/>
        <item x="1"/>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numFmtId="9" showAll="0"/>
    <pivotField showAll="0"/>
    <pivotField showAll="0"/>
  </pivotFields>
  <rowFields count="1">
    <field x="10"/>
  </rowFields>
  <rowItems count="7">
    <i>
      <x/>
    </i>
    <i>
      <x v="1"/>
    </i>
    <i>
      <x v="2"/>
    </i>
    <i>
      <x v="3"/>
    </i>
    <i>
      <x v="4"/>
    </i>
    <i>
      <x v="5"/>
    </i>
    <i t="grand">
      <x/>
    </i>
  </rowItems>
  <colItems count="1">
    <i/>
  </colItems>
  <dataFields count="1">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0FE0CF-400F-4C7C-BA2F-116C133302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9:H11" firstHeaderRow="1" firstDataRow="1" firstDataCol="1"/>
  <pivotFields count="23">
    <pivotField showAll="0"/>
    <pivotField showAll="0"/>
    <pivotField showAll="0"/>
    <pivotField showAll="0"/>
    <pivotField numFmtId="15" showAll="0"/>
    <pivotField showAll="0"/>
    <pivotField showAll="0">
      <items count="4">
        <item x="2"/>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3"/>
        <item x="1"/>
        <item x="0"/>
        <item t="default"/>
      </items>
    </pivotField>
    <pivotField showAll="0">
      <items count="4">
        <item h="1" x="1"/>
        <item x="2"/>
        <item h="1" x="0"/>
        <item t="default"/>
      </items>
    </pivotField>
    <pivotField dataField="1" showAll="0"/>
    <pivotField showAll="0"/>
    <pivotField showAll="0"/>
    <pivotField numFmtId="9" showAll="0"/>
    <pivotField showAll="0"/>
    <pivotField showAll="0"/>
  </pivotFields>
  <rowFields count="1">
    <field x="11"/>
  </rowFields>
  <rowItems count="2">
    <i>
      <x/>
    </i>
    <i t="grand">
      <x/>
    </i>
  </rowItems>
  <colItems count="1">
    <i/>
  </colItems>
  <dataFields count="1">
    <dataField name="Sum of Revenue" fld="17"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87C958-EF93-443B-9CF4-3D7EB5FA8076}" sourceName="City">
  <pivotTables>
    <pivotTable tabId="6" name="PivotTable3"/>
    <pivotTable tabId="6" name="PivotTable1"/>
    <pivotTable tabId="6" name="PivotTable2"/>
    <pivotTable tabId="6" name="PivotTable4"/>
    <pivotTable tabId="6" name="PivotTable5"/>
    <pivotTable tabId="6" name="PivotTable6"/>
    <pivotTable tabId="6" name="PivotTable7"/>
  </pivotTables>
  <data>
    <tabular pivotCacheId="6498355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ery" xr10:uid="{3BE6DC2B-E171-4399-846B-338C5AE01C72}" sourceName="Catogery">
  <pivotTables>
    <pivotTable tabId="6" name="PivotTable3"/>
  </pivotTables>
  <data>
    <tabular pivotCacheId="649835533">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92BD496-8513-4B4C-9451-D998465323F0}" sourceName="Salesperson">
  <pivotTables>
    <pivotTable tabId="6" name="PivotTable3"/>
  </pivotTables>
  <data>
    <tabular pivotCacheId="649835533">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2B5237B-A6B1-43D9-838A-F5926BAB67B1}" sourceName="Payment Method">
  <pivotTables>
    <pivotTable tabId="6" name="PivotTable3"/>
  </pivotTables>
  <data>
    <tabular pivotCacheId="649835533">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32C18B3-92CD-41B1-AA9E-426A7B9D499B}" cache="Slicer_City" caption="City" rowHeight="245835"/>
  <slicer name="Catogery" xr10:uid="{E82EC20B-F410-47FF-BA68-B8E9A040CE40}" cache="Slicer_Catogery" caption="Catogery" rowHeight="245835"/>
  <slicer name="Salesperson" xr10:uid="{F8B31194-D425-4521-9E0A-B31E3A109E9F}" cache="Slicer_Salesperson" caption="Salesperson" rowHeight="245835"/>
  <slicer name="Payment Method" xr10:uid="{7C4EBAB9-8403-4FE2-B0CC-9EF80411B20F}" cache="Slicer_Payment_Method" caption="Payment Method"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72E5E-9AA8-4B86-9DDF-E54B735B7E9D}" name="Table1" displayName="Table1" ref="A3:W14" totalsRowShown="0">
  <autoFilter ref="A3:W14" xr:uid="{0C872E5E-9AA8-4B86-9DDF-E54B735B7E9D}"/>
  <tableColumns count="23">
    <tableColumn id="1" xr3:uid="{FDF0D2C8-A8A8-4C7F-8631-037864083856}" name="Order ID"/>
    <tableColumn id="2" xr3:uid="{F196A530-4AD6-4D02-BF50-D0260A0F550E}" name="Prefix"/>
    <tableColumn id="3" xr3:uid="{B89EE44E-76B2-491E-B1C1-C718B003101B}" name="Year"/>
    <tableColumn id="4" xr3:uid="{CB1B8093-CB23-45BD-BE8A-9A1FC4135C87}" name="Order Number"/>
    <tableColumn id="5" xr3:uid="{AF1F5386-12F1-4DF1-A9E6-0EC22CCEE643}" name="Date" dataDxfId="0"/>
    <tableColumn id="6" xr3:uid="{6CE153F9-1E10-453E-B60E-386588CEAB6A}" name="Customer name"/>
    <tableColumn id="7" xr3:uid="{8F371F7C-940D-49A0-B053-C856B51FE293}" name="City"/>
    <tableColumn id="8" xr3:uid="{6083EDDE-18BE-4E1E-B608-0A6302A818E6}" name="Region"/>
    <tableColumn id="9" xr3:uid="{47BEBF28-9578-4067-BC91-220CA28D4A4C}" name="Customer label"/>
    <tableColumn id="10" xr3:uid="{5F33AAFF-4C02-4BC7-AC03-AB74EFEC1C1E}" name="Product Code"/>
    <tableColumn id="11" xr3:uid="{81939DB3-0822-4F98-8808-04BD6EA497B0}" name="Product name"/>
    <tableColumn id="12" xr3:uid="{2AF858EB-AC91-471B-99D4-D8F157CB4A5C}" name="Catogery"/>
    <tableColumn id="13" xr3:uid="{48E0FA2E-1AB8-4E4A-953B-D7B595E8D486}" name="Units"/>
    <tableColumn id="14" xr3:uid="{19563650-6393-4861-BEF6-7678E744E23B}" name="Unit price"/>
    <tableColumn id="15" xr3:uid="{B2939527-E10A-488E-97BE-FD435ABF88FA}" name="Cost per unit"/>
    <tableColumn id="16" xr3:uid="{ACA8B468-3E77-49CE-8B30-E714B09AEF2A}" name="Salesperson"/>
    <tableColumn id="17" xr3:uid="{A71B430F-E6BC-46FF-B5F4-5C4212870742}" name="Payment Method"/>
    <tableColumn id="18" xr3:uid="{FBB8729F-603A-4F83-B7E8-B8F77CE05C07}" name="Revenue"/>
    <tableColumn id="19" xr3:uid="{42CAC172-0EB1-4CD7-8D1B-D0A76AC4EEFA}" name="Total cost"/>
    <tableColumn id="20" xr3:uid="{E8BE90B1-C062-485B-A31F-F321FFCFB926}" name="Profit"/>
    <tableColumn id="21" xr3:uid="{570A224D-DDC5-4CBC-9416-FBA8C3CF5430}" name="Profit margin"/>
    <tableColumn id="22" xr3:uid="{B4F35A33-66E1-4301-8DE5-65AE9DA18A1C}" name="Perfomance classification"/>
    <tableColumn id="23" xr3:uid="{E1FFA737-A826-45F5-BDD3-2CDEF5A75347}" name="Transaction Review"/>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B404-5273-4B39-8B3F-A9C57F258150}">
  <dimension ref="A1:W14"/>
  <sheetViews>
    <sheetView topLeftCell="C1" workbookViewId="0"/>
  </sheetViews>
  <sheetFormatPr defaultRowHeight="14.6"/>
  <cols>
    <col min="1" max="1" width="11.15234375" bestFit="1" customWidth="1"/>
    <col min="2" max="3" width="9.3046875" bestFit="1" customWidth="1"/>
    <col min="4" max="4" width="15.23046875" bestFit="1" customWidth="1"/>
    <col min="5" max="5" width="9.3046875" bestFit="1" customWidth="1"/>
    <col min="6" max="6" width="16.3046875" bestFit="1" customWidth="1"/>
    <col min="7" max="7" width="9.765625" bestFit="1" customWidth="1"/>
    <col min="8" max="8" width="9.3046875" bestFit="1" customWidth="1"/>
    <col min="9" max="9" width="23.23046875" bestFit="1" customWidth="1"/>
    <col min="10" max="10" width="14.3046875" bestFit="1" customWidth="1"/>
    <col min="11" max="11" width="14.765625" bestFit="1" customWidth="1"/>
    <col min="12" max="12" width="10.4609375" bestFit="1" customWidth="1"/>
    <col min="13" max="13" width="9.3046875" bestFit="1" customWidth="1"/>
    <col min="14" max="14" width="11.15234375" bestFit="1" customWidth="1"/>
    <col min="15" max="15" width="13.69140625" bestFit="1" customWidth="1"/>
    <col min="16" max="16" width="12.921875" bestFit="1" customWidth="1"/>
    <col min="17" max="17" width="17.69140625" bestFit="1" customWidth="1"/>
    <col min="18" max="18" width="10.3046875" bestFit="1" customWidth="1"/>
    <col min="19" max="19" width="11.15234375" bestFit="1" customWidth="1"/>
    <col min="20" max="20" width="9.3046875" bestFit="1" customWidth="1"/>
    <col min="21" max="21" width="13.921875" bestFit="1" customWidth="1"/>
    <col min="22" max="22" width="24.3046875" bestFit="1" customWidth="1"/>
    <col min="23" max="23" width="19.3828125" bestFit="1" customWidth="1"/>
  </cols>
  <sheetData>
    <row r="1" spans="1:23">
      <c r="A1" s="7" t="s">
        <v>140</v>
      </c>
    </row>
    <row r="3" spans="1:23">
      <c r="A3" t="s">
        <v>0</v>
      </c>
      <c r="B3" t="s">
        <v>80</v>
      </c>
      <c r="C3" t="s">
        <v>81</v>
      </c>
      <c r="D3" t="s">
        <v>82</v>
      </c>
      <c r="E3" t="s">
        <v>1</v>
      </c>
      <c r="F3" t="s">
        <v>88</v>
      </c>
      <c r="G3" t="s">
        <v>3</v>
      </c>
      <c r="H3" t="s">
        <v>76</v>
      </c>
      <c r="I3" t="s">
        <v>92</v>
      </c>
      <c r="J3" t="s">
        <v>4</v>
      </c>
      <c r="K3" t="s">
        <v>89</v>
      </c>
      <c r="L3" t="s">
        <v>111</v>
      </c>
      <c r="M3" t="s">
        <v>5</v>
      </c>
      <c r="N3" t="s">
        <v>90</v>
      </c>
      <c r="O3" t="s">
        <v>91</v>
      </c>
      <c r="P3" t="s">
        <v>6</v>
      </c>
      <c r="Q3" t="s">
        <v>7</v>
      </c>
      <c r="R3" t="s">
        <v>95</v>
      </c>
      <c r="S3" t="s">
        <v>96</v>
      </c>
      <c r="T3" t="s">
        <v>97</v>
      </c>
      <c r="U3" t="s">
        <v>98</v>
      </c>
      <c r="V3" t="s">
        <v>99</v>
      </c>
      <c r="W3" t="s">
        <v>100</v>
      </c>
    </row>
    <row r="4" spans="1:23">
      <c r="A4" t="s">
        <v>8</v>
      </c>
      <c r="B4" t="s">
        <v>113</v>
      </c>
      <c r="C4" t="s">
        <v>114</v>
      </c>
      <c r="D4" t="s">
        <v>115</v>
      </c>
      <c r="E4" s="6">
        <v>45662</v>
      </c>
      <c r="F4" t="s">
        <v>93</v>
      </c>
      <c r="G4" t="s">
        <v>10</v>
      </c>
      <c r="H4" t="s">
        <v>77</v>
      </c>
      <c r="I4" t="s">
        <v>116</v>
      </c>
      <c r="J4" t="s">
        <v>11</v>
      </c>
      <c r="K4" t="s">
        <v>68</v>
      </c>
      <c r="L4" t="s">
        <v>69</v>
      </c>
      <c r="M4">
        <v>2</v>
      </c>
      <c r="N4">
        <v>1200</v>
      </c>
      <c r="O4">
        <v>800</v>
      </c>
      <c r="P4" t="s">
        <v>12</v>
      </c>
      <c r="Q4" t="s">
        <v>13</v>
      </c>
      <c r="R4">
        <v>2400</v>
      </c>
      <c r="S4">
        <v>1600</v>
      </c>
      <c r="T4">
        <v>800</v>
      </c>
      <c r="U4">
        <v>0.33333333333333331</v>
      </c>
      <c r="V4" t="s">
        <v>117</v>
      </c>
      <c r="W4" t="s">
        <v>118</v>
      </c>
    </row>
    <row r="5" spans="1:23">
      <c r="A5" t="s">
        <v>14</v>
      </c>
      <c r="B5" t="s">
        <v>119</v>
      </c>
      <c r="C5" t="s">
        <v>114</v>
      </c>
      <c r="D5" t="s">
        <v>120</v>
      </c>
      <c r="E5" s="6">
        <v>45663</v>
      </c>
      <c r="F5" t="s">
        <v>63</v>
      </c>
      <c r="G5" t="s">
        <v>16</v>
      </c>
      <c r="H5" t="s">
        <v>78</v>
      </c>
      <c r="I5" t="s">
        <v>121</v>
      </c>
      <c r="J5" t="s">
        <v>17</v>
      </c>
      <c r="K5" t="s">
        <v>70</v>
      </c>
      <c r="L5" t="s">
        <v>69</v>
      </c>
      <c r="M5">
        <v>3</v>
      </c>
      <c r="N5">
        <v>800</v>
      </c>
      <c r="O5">
        <v>450</v>
      </c>
      <c r="P5" t="s">
        <v>18</v>
      </c>
      <c r="Q5" t="s">
        <v>19</v>
      </c>
      <c r="R5">
        <v>2400</v>
      </c>
      <c r="S5">
        <v>1350</v>
      </c>
      <c r="T5">
        <v>1050</v>
      </c>
      <c r="U5">
        <v>0.4375</v>
      </c>
      <c r="V5" t="s">
        <v>117</v>
      </c>
      <c r="W5" t="s">
        <v>118</v>
      </c>
    </row>
    <row r="6" spans="1:23">
      <c r="A6" t="s">
        <v>20</v>
      </c>
      <c r="B6" t="s">
        <v>122</v>
      </c>
      <c r="C6" t="s">
        <v>114</v>
      </c>
      <c r="D6" t="s">
        <v>123</v>
      </c>
      <c r="E6" s="6">
        <v>45664</v>
      </c>
      <c r="F6" t="s">
        <v>83</v>
      </c>
      <c r="G6" t="s">
        <v>22</v>
      </c>
      <c r="H6" t="s">
        <v>79</v>
      </c>
      <c r="I6" t="s">
        <v>124</v>
      </c>
      <c r="J6" t="s">
        <v>23</v>
      </c>
      <c r="K6" t="s">
        <v>71</v>
      </c>
      <c r="L6" t="s">
        <v>69</v>
      </c>
      <c r="M6">
        <v>1</v>
      </c>
      <c r="N6">
        <v>1500</v>
      </c>
      <c r="O6">
        <v>900</v>
      </c>
      <c r="P6" t="s">
        <v>24</v>
      </c>
      <c r="Q6" t="s">
        <v>25</v>
      </c>
      <c r="R6">
        <v>1500</v>
      </c>
      <c r="S6">
        <v>900</v>
      </c>
      <c r="T6">
        <v>600</v>
      </c>
      <c r="U6">
        <v>0.4</v>
      </c>
      <c r="V6" t="s">
        <v>117</v>
      </c>
      <c r="W6" t="s">
        <v>118</v>
      </c>
    </row>
    <row r="7" spans="1:23">
      <c r="A7" t="s">
        <v>62</v>
      </c>
      <c r="B7" t="s">
        <v>119</v>
      </c>
      <c r="C7" t="s">
        <v>114</v>
      </c>
      <c r="D7" t="s">
        <v>125</v>
      </c>
      <c r="E7" s="6">
        <v>45681</v>
      </c>
      <c r="F7" t="s">
        <v>63</v>
      </c>
      <c r="G7" t="s">
        <v>16</v>
      </c>
      <c r="H7" t="s">
        <v>78</v>
      </c>
      <c r="I7" t="s">
        <v>121</v>
      </c>
      <c r="J7" t="s">
        <v>17</v>
      </c>
      <c r="K7" t="s">
        <v>70</v>
      </c>
      <c r="L7" t="s">
        <v>69</v>
      </c>
      <c r="M7">
        <v>1</v>
      </c>
      <c r="N7">
        <v>800</v>
      </c>
      <c r="O7">
        <v>450</v>
      </c>
      <c r="P7" t="s">
        <v>18</v>
      </c>
      <c r="Q7" t="s">
        <v>19</v>
      </c>
      <c r="R7">
        <v>800</v>
      </c>
      <c r="S7">
        <v>450</v>
      </c>
      <c r="T7">
        <v>350</v>
      </c>
      <c r="U7">
        <v>0.4375</v>
      </c>
      <c r="V7" t="s">
        <v>126</v>
      </c>
      <c r="W7" t="s">
        <v>118</v>
      </c>
    </row>
    <row r="8" spans="1:23">
      <c r="A8" t="s">
        <v>29</v>
      </c>
      <c r="B8" t="s">
        <v>119</v>
      </c>
      <c r="C8" t="s">
        <v>114</v>
      </c>
      <c r="D8" t="s">
        <v>127</v>
      </c>
      <c r="E8" s="6">
        <v>45666</v>
      </c>
      <c r="F8" t="s">
        <v>30</v>
      </c>
      <c r="G8" t="s">
        <v>16</v>
      </c>
      <c r="H8" t="s">
        <v>78</v>
      </c>
      <c r="I8" t="s">
        <v>128</v>
      </c>
      <c r="J8" t="s">
        <v>11</v>
      </c>
      <c r="K8" t="s">
        <v>68</v>
      </c>
      <c r="L8" t="s">
        <v>69</v>
      </c>
      <c r="M8">
        <v>1</v>
      </c>
      <c r="N8">
        <v>1200</v>
      </c>
      <c r="O8">
        <v>800</v>
      </c>
      <c r="P8" t="s">
        <v>18</v>
      </c>
      <c r="Q8" t="s">
        <v>19</v>
      </c>
      <c r="R8">
        <v>1200</v>
      </c>
      <c r="S8">
        <v>800</v>
      </c>
      <c r="T8">
        <v>400</v>
      </c>
      <c r="U8">
        <v>0.33333333333333331</v>
      </c>
      <c r="V8" t="s">
        <v>117</v>
      </c>
      <c r="W8" t="s">
        <v>118</v>
      </c>
    </row>
    <row r="9" spans="1:23">
      <c r="A9" t="s">
        <v>60</v>
      </c>
      <c r="B9" t="s">
        <v>113</v>
      </c>
      <c r="C9" t="s">
        <v>114</v>
      </c>
      <c r="D9" t="s">
        <v>129</v>
      </c>
      <c r="E9" s="6">
        <v>45680</v>
      </c>
      <c r="F9" t="s">
        <v>93</v>
      </c>
      <c r="G9" t="s">
        <v>10</v>
      </c>
      <c r="H9" t="s">
        <v>77</v>
      </c>
      <c r="I9" t="s">
        <v>116</v>
      </c>
      <c r="J9" t="s">
        <v>11</v>
      </c>
      <c r="K9" t="s">
        <v>68</v>
      </c>
      <c r="L9" t="s">
        <v>69</v>
      </c>
      <c r="M9">
        <v>2</v>
      </c>
      <c r="N9">
        <v>1200</v>
      </c>
      <c r="O9">
        <v>800</v>
      </c>
      <c r="P9" t="s">
        <v>12</v>
      </c>
      <c r="Q9" t="s">
        <v>13</v>
      </c>
      <c r="R9">
        <v>2400</v>
      </c>
      <c r="S9">
        <v>1600</v>
      </c>
      <c r="T9">
        <v>800</v>
      </c>
      <c r="U9">
        <v>0.33333333333333331</v>
      </c>
      <c r="V9" t="s">
        <v>117</v>
      </c>
      <c r="W9" t="s">
        <v>118</v>
      </c>
    </row>
    <row r="10" spans="1:23">
      <c r="A10" t="s">
        <v>35</v>
      </c>
      <c r="B10" t="s">
        <v>113</v>
      </c>
      <c r="C10" t="s">
        <v>114</v>
      </c>
      <c r="D10" t="s">
        <v>130</v>
      </c>
      <c r="E10" s="6">
        <v>45668</v>
      </c>
      <c r="F10" t="s">
        <v>85</v>
      </c>
      <c r="G10" t="s">
        <v>10</v>
      </c>
      <c r="H10" t="s">
        <v>77</v>
      </c>
      <c r="I10" t="s">
        <v>131</v>
      </c>
      <c r="J10" t="s">
        <v>17</v>
      </c>
      <c r="K10" t="s">
        <v>70</v>
      </c>
      <c r="L10" t="s">
        <v>69</v>
      </c>
      <c r="M10">
        <v>2</v>
      </c>
      <c r="N10">
        <v>800</v>
      </c>
      <c r="O10">
        <v>450</v>
      </c>
      <c r="P10" t="s">
        <v>24</v>
      </c>
      <c r="Q10" t="s">
        <v>25</v>
      </c>
      <c r="R10">
        <v>1600</v>
      </c>
      <c r="S10">
        <v>900</v>
      </c>
      <c r="T10">
        <v>700</v>
      </c>
      <c r="U10">
        <v>0.4375</v>
      </c>
      <c r="V10" t="s">
        <v>117</v>
      </c>
      <c r="W10" t="s">
        <v>118</v>
      </c>
    </row>
    <row r="11" spans="1:23">
      <c r="A11" t="s">
        <v>52</v>
      </c>
      <c r="B11" t="s">
        <v>122</v>
      </c>
      <c r="C11" t="s">
        <v>114</v>
      </c>
      <c r="D11" t="s">
        <v>132</v>
      </c>
      <c r="E11" s="6">
        <v>45676</v>
      </c>
      <c r="F11" t="s">
        <v>53</v>
      </c>
      <c r="G11" t="s">
        <v>22</v>
      </c>
      <c r="H11" t="s">
        <v>79</v>
      </c>
      <c r="I11" t="s">
        <v>133</v>
      </c>
      <c r="J11" t="s">
        <v>17</v>
      </c>
      <c r="K11" t="s">
        <v>70</v>
      </c>
      <c r="L11" t="s">
        <v>69</v>
      </c>
      <c r="M11">
        <v>4</v>
      </c>
      <c r="N11">
        <v>800</v>
      </c>
      <c r="O11">
        <v>450</v>
      </c>
      <c r="P11" t="s">
        <v>34</v>
      </c>
      <c r="Q11" t="s">
        <v>19</v>
      </c>
      <c r="R11">
        <v>3200</v>
      </c>
      <c r="S11">
        <v>1800</v>
      </c>
      <c r="T11">
        <v>1400</v>
      </c>
      <c r="U11">
        <v>0.4375</v>
      </c>
      <c r="V11" t="s">
        <v>117</v>
      </c>
      <c r="W11" t="s">
        <v>118</v>
      </c>
    </row>
    <row r="12" spans="1:23">
      <c r="A12" t="s">
        <v>50</v>
      </c>
      <c r="B12" t="s">
        <v>119</v>
      </c>
      <c r="C12" t="s">
        <v>114</v>
      </c>
      <c r="D12" t="s">
        <v>134</v>
      </c>
      <c r="E12" s="6">
        <v>45675</v>
      </c>
      <c r="F12" t="s">
        <v>51</v>
      </c>
      <c r="G12" t="s">
        <v>16</v>
      </c>
      <c r="H12" t="s">
        <v>78</v>
      </c>
      <c r="I12" t="s">
        <v>135</v>
      </c>
      <c r="J12" t="s">
        <v>23</v>
      </c>
      <c r="K12" t="s">
        <v>71</v>
      </c>
      <c r="L12" t="s">
        <v>69</v>
      </c>
      <c r="M12">
        <v>2</v>
      </c>
      <c r="N12">
        <v>1500</v>
      </c>
      <c r="O12">
        <v>900</v>
      </c>
      <c r="P12" t="s">
        <v>18</v>
      </c>
      <c r="Q12" t="s">
        <v>25</v>
      </c>
      <c r="R12">
        <v>3000</v>
      </c>
      <c r="S12">
        <v>1800</v>
      </c>
      <c r="T12">
        <v>1200</v>
      </c>
      <c r="U12">
        <v>0.4</v>
      </c>
      <c r="V12" t="s">
        <v>117</v>
      </c>
      <c r="W12" t="s">
        <v>118</v>
      </c>
    </row>
    <row r="13" spans="1:23">
      <c r="A13" t="s">
        <v>42</v>
      </c>
      <c r="B13" t="s">
        <v>113</v>
      </c>
      <c r="C13" t="s">
        <v>114</v>
      </c>
      <c r="D13" t="s">
        <v>136</v>
      </c>
      <c r="E13" s="6">
        <v>45671</v>
      </c>
      <c r="F13" t="s">
        <v>87</v>
      </c>
      <c r="G13" t="s">
        <v>10</v>
      </c>
      <c r="H13" t="s">
        <v>77</v>
      </c>
      <c r="I13" t="s">
        <v>137</v>
      </c>
      <c r="J13" t="s">
        <v>23</v>
      </c>
      <c r="K13" t="s">
        <v>71</v>
      </c>
      <c r="L13" t="s">
        <v>69</v>
      </c>
      <c r="M13">
        <v>3</v>
      </c>
      <c r="N13">
        <v>1500</v>
      </c>
      <c r="O13">
        <v>900</v>
      </c>
      <c r="P13" t="s">
        <v>12</v>
      </c>
      <c r="Q13" t="s">
        <v>25</v>
      </c>
      <c r="R13">
        <v>4500</v>
      </c>
      <c r="S13">
        <v>2700</v>
      </c>
      <c r="T13">
        <v>1800</v>
      </c>
      <c r="U13">
        <v>0.4</v>
      </c>
      <c r="V13" t="s">
        <v>117</v>
      </c>
      <c r="W13" t="s">
        <v>118</v>
      </c>
    </row>
    <row r="14" spans="1:23">
      <c r="A14" t="s">
        <v>48</v>
      </c>
      <c r="B14" t="s">
        <v>113</v>
      </c>
      <c r="C14" t="s">
        <v>114</v>
      </c>
      <c r="D14" t="s">
        <v>138</v>
      </c>
      <c r="E14" s="6">
        <v>45674</v>
      </c>
      <c r="F14" t="s">
        <v>94</v>
      </c>
      <c r="G14" t="s">
        <v>10</v>
      </c>
      <c r="H14" t="s">
        <v>77</v>
      </c>
      <c r="I14" t="s">
        <v>139</v>
      </c>
      <c r="J14" t="s">
        <v>11</v>
      </c>
      <c r="K14" t="s">
        <v>68</v>
      </c>
      <c r="L14" t="s">
        <v>69</v>
      </c>
      <c r="M14">
        <v>3</v>
      </c>
      <c r="N14">
        <v>1200</v>
      </c>
      <c r="O14">
        <v>800</v>
      </c>
      <c r="P14" t="s">
        <v>12</v>
      </c>
      <c r="Q14" t="s">
        <v>13</v>
      </c>
      <c r="R14">
        <v>3600</v>
      </c>
      <c r="S14">
        <v>2400</v>
      </c>
      <c r="T14">
        <v>1200</v>
      </c>
      <c r="U14">
        <v>0.33333333333333331</v>
      </c>
      <c r="V14" t="s">
        <v>117</v>
      </c>
      <c r="W14" t="s">
        <v>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7F1E-F492-4E90-964E-CFEB3610BE84}">
  <dimension ref="A3:H19"/>
  <sheetViews>
    <sheetView topLeftCell="A2" workbookViewId="0"/>
  </sheetViews>
  <sheetFormatPr defaultRowHeight="14.6"/>
  <cols>
    <col min="1" max="1" width="13.921875" bestFit="1" customWidth="1"/>
    <col min="2" max="2" width="14.69140625" bestFit="1" customWidth="1"/>
    <col min="4" max="4" width="13.3828125" bestFit="1" customWidth="1"/>
    <col min="5" max="5" width="14.69140625" bestFit="1" customWidth="1"/>
    <col min="7" max="7" width="13.3828125" bestFit="1" customWidth="1"/>
    <col min="8" max="8" width="14.69140625" bestFit="1" customWidth="1"/>
    <col min="9" max="9" width="11.69140625" bestFit="1" customWidth="1"/>
    <col min="10" max="10" width="12.3828125" bestFit="1" customWidth="1"/>
    <col min="11" max="11" width="11.3828125" bestFit="1" customWidth="1"/>
    <col min="13" max="13" width="12.3828125" bestFit="1" customWidth="1"/>
    <col min="14" max="14" width="14.3828125" bestFit="1" customWidth="1"/>
    <col min="16" max="16" width="12.3828125" bestFit="1" customWidth="1"/>
    <col min="17" max="17" width="14.3828125" bestFit="1" customWidth="1"/>
    <col min="18" max="18" width="11.3828125" bestFit="1" customWidth="1"/>
    <col min="19" max="19" width="14.3828125" bestFit="1" customWidth="1"/>
  </cols>
  <sheetData>
    <row r="3" spans="1:8">
      <c r="A3" s="3" t="s">
        <v>107</v>
      </c>
      <c r="B3" t="s">
        <v>110</v>
      </c>
      <c r="D3" s="3" t="s">
        <v>107</v>
      </c>
      <c r="E3" t="s">
        <v>109</v>
      </c>
      <c r="G3" s="3" t="s">
        <v>107</v>
      </c>
      <c r="H3" t="s">
        <v>112</v>
      </c>
    </row>
    <row r="4" spans="1:8">
      <c r="A4" s="4" t="s">
        <v>22</v>
      </c>
      <c r="B4" s="5">
        <v>49700</v>
      </c>
      <c r="D4" s="4" t="s">
        <v>22</v>
      </c>
      <c r="E4" s="5">
        <v>17400</v>
      </c>
      <c r="G4" s="4" t="s">
        <v>19</v>
      </c>
      <c r="H4" s="5">
        <v>15</v>
      </c>
    </row>
    <row r="5" spans="1:8">
      <c r="A5" s="4" t="s">
        <v>10</v>
      </c>
      <c r="B5" s="5">
        <v>67000</v>
      </c>
      <c r="D5" s="4" t="s">
        <v>10</v>
      </c>
      <c r="E5" s="5">
        <v>21000</v>
      </c>
      <c r="G5" s="4" t="s">
        <v>25</v>
      </c>
      <c r="H5" s="5">
        <v>8</v>
      </c>
    </row>
    <row r="6" spans="1:8">
      <c r="A6" s="4" t="s">
        <v>16</v>
      </c>
      <c r="B6" s="5">
        <v>62900</v>
      </c>
      <c r="D6" s="4" t="s">
        <v>16</v>
      </c>
      <c r="E6" s="5">
        <v>21000</v>
      </c>
      <c r="G6" s="4" t="s">
        <v>13</v>
      </c>
      <c r="H6" s="5">
        <v>23</v>
      </c>
    </row>
    <row r="7" spans="1:8">
      <c r="A7" s="4" t="s">
        <v>108</v>
      </c>
      <c r="B7" s="5">
        <v>179600</v>
      </c>
      <c r="D7" s="4" t="s">
        <v>108</v>
      </c>
      <c r="E7" s="5">
        <v>59400</v>
      </c>
      <c r="G7" s="4" t="s">
        <v>108</v>
      </c>
      <c r="H7" s="5">
        <v>46</v>
      </c>
    </row>
    <row r="9" spans="1:8">
      <c r="G9" s="3" t="s">
        <v>107</v>
      </c>
      <c r="H9" t="s">
        <v>110</v>
      </c>
    </row>
    <row r="10" spans="1:8">
      <c r="G10" s="4" t="s">
        <v>69</v>
      </c>
      <c r="H10" s="5">
        <v>10600</v>
      </c>
    </row>
    <row r="11" spans="1:8">
      <c r="G11" s="4" t="s">
        <v>108</v>
      </c>
      <c r="H11" s="5">
        <v>10600</v>
      </c>
    </row>
    <row r="12" spans="1:8">
      <c r="A12" s="3" t="s">
        <v>107</v>
      </c>
      <c r="B12" t="s">
        <v>110</v>
      </c>
    </row>
    <row r="13" spans="1:8">
      <c r="A13" s="4" t="s">
        <v>74</v>
      </c>
      <c r="B13" s="5">
        <v>27000</v>
      </c>
    </row>
    <row r="14" spans="1:8">
      <c r="A14" s="4" t="s">
        <v>71</v>
      </c>
      <c r="B14" s="5">
        <v>9000</v>
      </c>
      <c r="D14" s="3" t="s">
        <v>107</v>
      </c>
      <c r="E14" t="s">
        <v>110</v>
      </c>
    </row>
    <row r="15" spans="1:8">
      <c r="A15" s="4" t="s">
        <v>68</v>
      </c>
      <c r="B15" s="5">
        <v>9600</v>
      </c>
      <c r="D15" s="4" t="s">
        <v>24</v>
      </c>
      <c r="E15" s="5">
        <v>13600</v>
      </c>
      <c r="G15" s="3" t="s">
        <v>107</v>
      </c>
      <c r="H15" t="s">
        <v>110</v>
      </c>
    </row>
    <row r="16" spans="1:8">
      <c r="A16" s="4" t="s">
        <v>72</v>
      </c>
      <c r="B16" s="5">
        <v>108000</v>
      </c>
      <c r="D16" s="4" t="s">
        <v>34</v>
      </c>
      <c r="E16" s="5">
        <v>48200</v>
      </c>
      <c r="G16" s="4" t="s">
        <v>19</v>
      </c>
      <c r="H16" s="5">
        <v>57100</v>
      </c>
    </row>
    <row r="17" spans="1:8">
      <c r="A17" s="4" t="s">
        <v>75</v>
      </c>
      <c r="B17" s="5">
        <v>18000</v>
      </c>
      <c r="D17" s="4" t="s">
        <v>18</v>
      </c>
      <c r="E17" s="5">
        <v>56900</v>
      </c>
      <c r="G17" s="4" t="s">
        <v>25</v>
      </c>
      <c r="H17" s="5">
        <v>10600</v>
      </c>
    </row>
    <row r="18" spans="1:8">
      <c r="A18" s="4" t="s">
        <v>70</v>
      </c>
      <c r="B18" s="5">
        <v>8000</v>
      </c>
      <c r="D18" s="4" t="s">
        <v>12</v>
      </c>
      <c r="E18" s="5">
        <v>60900</v>
      </c>
      <c r="G18" s="4" t="s">
        <v>13</v>
      </c>
      <c r="H18" s="5">
        <v>111900</v>
      </c>
    </row>
    <row r="19" spans="1:8">
      <c r="A19" s="4" t="s">
        <v>108</v>
      </c>
      <c r="B19" s="5">
        <v>179600</v>
      </c>
      <c r="D19" s="4" t="s">
        <v>108</v>
      </c>
      <c r="E19" s="5">
        <v>179600</v>
      </c>
      <c r="G19" s="4" t="s">
        <v>108</v>
      </c>
      <c r="H19" s="5">
        <v>179600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2C63-C06D-4183-8785-643E83830A4A}">
  <dimension ref="A1"/>
  <sheetViews>
    <sheetView topLeftCell="F1" workbookViewId="0"/>
  </sheetViews>
  <sheetFormatPr defaultRowHeight="14.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3331-6AFB-470E-957A-EA1F31ADC379}">
  <dimension ref="A1:A47"/>
  <sheetViews>
    <sheetView tabSelected="1" zoomScale="106" workbookViewId="0">
      <selection activeCell="I51" sqref="I51"/>
    </sheetView>
  </sheetViews>
  <sheetFormatPr defaultRowHeight="14.6"/>
  <sheetData>
    <row r="1" spans="1:1">
      <c r="A1" s="11"/>
    </row>
    <row r="2" spans="1:1">
      <c r="A2" s="7" t="s">
        <v>141</v>
      </c>
    </row>
    <row r="3" spans="1:1">
      <c r="A3" s="8"/>
    </row>
    <row r="4" spans="1:1">
      <c r="A4" s="9" t="s">
        <v>142</v>
      </c>
    </row>
    <row r="5" spans="1:1">
      <c r="A5" s="8"/>
    </row>
    <row r="6" spans="1:1">
      <c r="A6" s="9" t="s">
        <v>159</v>
      </c>
    </row>
    <row r="7" spans="1:1">
      <c r="A7" s="8"/>
    </row>
    <row r="8" spans="1:1">
      <c r="A8" s="9" t="s">
        <v>143</v>
      </c>
    </row>
    <row r="10" spans="1:1">
      <c r="A10" s="7" t="s">
        <v>144</v>
      </c>
    </row>
    <row r="11" spans="1:1">
      <c r="A11" s="8"/>
    </row>
    <row r="12" spans="1:1">
      <c r="A12" s="9" t="s">
        <v>145</v>
      </c>
    </row>
    <row r="13" spans="1:1">
      <c r="A13" s="8"/>
    </row>
    <row r="14" spans="1:1">
      <c r="A14" s="9" t="s">
        <v>146</v>
      </c>
    </row>
    <row r="15" spans="1:1">
      <c r="A15" s="8"/>
    </row>
    <row r="16" spans="1:1">
      <c r="A16" s="9" t="s">
        <v>147</v>
      </c>
    </row>
    <row r="18" spans="1:1">
      <c r="A18" s="7" t="s">
        <v>148</v>
      </c>
    </row>
    <row r="19" spans="1:1">
      <c r="A19" s="8"/>
    </row>
    <row r="20" spans="1:1">
      <c r="A20" s="9" t="s">
        <v>149</v>
      </c>
    </row>
    <row r="21" spans="1:1">
      <c r="A21" s="8"/>
    </row>
    <row r="22" spans="1:1">
      <c r="A22" s="9" t="s">
        <v>160</v>
      </c>
    </row>
    <row r="23" spans="1:1">
      <c r="A23" s="8"/>
    </row>
    <row r="24" spans="1:1">
      <c r="A24" s="9" t="s">
        <v>150</v>
      </c>
    </row>
    <row r="26" spans="1:1">
      <c r="A26" s="7" t="s">
        <v>151</v>
      </c>
    </row>
    <row r="27" spans="1:1">
      <c r="A27" s="8"/>
    </row>
    <row r="28" spans="1:1">
      <c r="A28" s="9" t="s">
        <v>152</v>
      </c>
    </row>
    <row r="29" spans="1:1">
      <c r="A29" s="8"/>
    </row>
    <row r="30" spans="1:1">
      <c r="A30" s="9" t="s">
        <v>153</v>
      </c>
    </row>
    <row r="31" spans="1:1">
      <c r="A31" s="8"/>
    </row>
    <row r="32" spans="1:1">
      <c r="A32" s="9" t="s">
        <v>154</v>
      </c>
    </row>
    <row r="34" spans="1:1">
      <c r="A34" s="7" t="s">
        <v>155</v>
      </c>
    </row>
    <row r="35" spans="1:1">
      <c r="A35" s="8"/>
    </row>
    <row r="36" spans="1:1">
      <c r="A36" s="9" t="s">
        <v>161</v>
      </c>
    </row>
    <row r="37" spans="1:1">
      <c r="A37" s="8"/>
    </row>
    <row r="38" spans="1:1">
      <c r="A38" s="9" t="s">
        <v>156</v>
      </c>
    </row>
    <row r="39" spans="1:1">
      <c r="A39" s="8"/>
    </row>
    <row r="40" spans="1:1">
      <c r="A40" s="9" t="s">
        <v>157</v>
      </c>
    </row>
    <row r="42" spans="1:1" ht="18">
      <c r="A42" s="10" t="s">
        <v>158</v>
      </c>
    </row>
    <row r="44" spans="1:1">
      <c r="A44" t="s">
        <v>163</v>
      </c>
    </row>
    <row r="45" spans="1:1">
      <c r="A45" t="s">
        <v>164</v>
      </c>
    </row>
    <row r="46" spans="1:1">
      <c r="A46" t="s">
        <v>165</v>
      </c>
    </row>
    <row r="47" spans="1:1">
      <c r="A47" t="s">
        <v>162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4E42-C1ED-4951-9A05-AB8EB9F8D694}">
  <dimension ref="A1:W20"/>
  <sheetViews>
    <sheetView topLeftCell="P1" workbookViewId="0"/>
  </sheetViews>
  <sheetFormatPr defaultRowHeight="14.6"/>
  <cols>
    <col min="1" max="1" width="12.61328125" customWidth="1"/>
    <col min="3" max="3" width="7.765625" customWidth="1"/>
    <col min="4" max="4" width="14.23046875" customWidth="1"/>
    <col min="5" max="5" width="10.84375" customWidth="1"/>
    <col min="6" max="6" width="14.3046875" customWidth="1"/>
    <col min="7" max="8" width="10.4609375" customWidth="1"/>
    <col min="9" max="9" width="22.3828125" customWidth="1"/>
    <col min="10" max="10" width="12.15234375" customWidth="1"/>
    <col min="11" max="12" width="15.23046875" customWidth="1"/>
    <col min="13" max="13" width="6.23046875" customWidth="1"/>
    <col min="14" max="15" width="15.53515625" customWidth="1"/>
    <col min="16" max="16" width="11.53515625" customWidth="1"/>
    <col min="17" max="17" width="15.15234375" customWidth="1"/>
    <col min="21" max="21" width="11.23046875" customWidth="1"/>
    <col min="22" max="22" width="20.921875" customWidth="1"/>
    <col min="23" max="23" width="17.15234375" customWidth="1"/>
  </cols>
  <sheetData>
    <row r="1" spans="1:23">
      <c r="A1" t="s">
        <v>0</v>
      </c>
      <c r="B1" t="s">
        <v>80</v>
      </c>
      <c r="C1" t="s">
        <v>81</v>
      </c>
      <c r="D1" t="s">
        <v>82</v>
      </c>
      <c r="E1" t="s">
        <v>1</v>
      </c>
      <c r="F1" t="s">
        <v>88</v>
      </c>
      <c r="G1" t="s">
        <v>3</v>
      </c>
      <c r="H1" t="s">
        <v>76</v>
      </c>
      <c r="I1" t="s">
        <v>92</v>
      </c>
      <c r="J1" t="s">
        <v>4</v>
      </c>
      <c r="K1" t="s">
        <v>89</v>
      </c>
      <c r="L1" t="s">
        <v>111</v>
      </c>
      <c r="M1" t="s">
        <v>5</v>
      </c>
      <c r="N1" t="s">
        <v>90</v>
      </c>
      <c r="O1" t="s">
        <v>91</v>
      </c>
      <c r="P1" t="s">
        <v>6</v>
      </c>
      <c r="Q1" t="s">
        <v>7</v>
      </c>
      <c r="R1" t="s">
        <v>95</v>
      </c>
      <c r="S1" t="s">
        <v>96</v>
      </c>
      <c r="T1" t="s">
        <v>97</v>
      </c>
      <c r="U1" t="s">
        <v>98</v>
      </c>
      <c r="V1" t="s">
        <v>99</v>
      </c>
      <c r="W1" t="s">
        <v>100</v>
      </c>
    </row>
    <row r="2" spans="1:23">
      <c r="A2" t="s">
        <v>8</v>
      </c>
      <c r="B2" t="str">
        <f>LEFT(A2, 3)</f>
        <v>HYD</v>
      </c>
      <c r="C2" t="str">
        <f>MID(A2, 4, 2)</f>
        <v>25</v>
      </c>
      <c r="D2" t="str">
        <f>RIGHT(A2, 3)</f>
        <v>001</v>
      </c>
      <c r="E2" s="1">
        <v>45662</v>
      </c>
      <c r="F2" t="s">
        <v>93</v>
      </c>
      <c r="G2" t="s">
        <v>10</v>
      </c>
      <c r="H2" t="str">
        <f>_xlfn.XLOOKUP(G2, 'City Lookup'!A:A, 'City Lookup'!B:B)</f>
        <v>South</v>
      </c>
      <c r="I2" t="str">
        <f t="shared" ref="I2:I20" si="0">_xlfn.CONCAT(F2, " - ", G2)</f>
        <v>Rahul Sharma  - Hyderabad</v>
      </c>
      <c r="J2" t="s">
        <v>11</v>
      </c>
      <c r="K2" t="str">
        <f>_xlfn.XLOOKUP(J2, 'Product Lookup'!A:A, 'Product Lookup'!B:B)</f>
        <v>Laptop Stand</v>
      </c>
      <c r="L2" t="str">
        <f>_xlfn.XLOOKUP(J2, 'Product Lookup'!A:A, 'Product Lookup'!C:C)</f>
        <v>Accessories</v>
      </c>
      <c r="M2">
        <v>2</v>
      </c>
      <c r="N2">
        <f>_xlfn.XLOOKUP(J2, 'Product Lookup'!A:A, 'Product Lookup'!D:D)</f>
        <v>1200</v>
      </c>
      <c r="O2">
        <f>_xlfn.XLOOKUP(J2, 'Product Lookup'!A:A, 'Product Lookup'!E:E)</f>
        <v>800</v>
      </c>
      <c r="P2" t="s">
        <v>12</v>
      </c>
      <c r="Q2" t="s">
        <v>13</v>
      </c>
      <c r="R2">
        <f>M2*N2</f>
        <v>2400</v>
      </c>
      <c r="S2">
        <f>M2*O2</f>
        <v>1600</v>
      </c>
      <c r="T2">
        <f>R2-S2</f>
        <v>800</v>
      </c>
      <c r="U2" s="2">
        <f>T2/R2</f>
        <v>0.33333333333333331</v>
      </c>
      <c r="V2" t="str">
        <f t="shared" ref="V2:V20" si="1">IF(R2&gt;=1000, "High Performance", "Regular")</f>
        <v>High Performance</v>
      </c>
      <c r="W2" t="str">
        <f>IF(OR(T2&lt;0, R2&lt;100), "Review", "Normal")</f>
        <v>Normal</v>
      </c>
    </row>
    <row r="3" spans="1:23">
      <c r="A3" t="s">
        <v>14</v>
      </c>
      <c r="B3" t="str">
        <f t="shared" ref="B3:B20" si="2">LEFT(A3, 3)</f>
        <v>MUM</v>
      </c>
      <c r="C3" t="str">
        <f t="shared" ref="C3:C20" si="3">MID(A3, 4, 2)</f>
        <v>25</v>
      </c>
      <c r="D3" t="str">
        <f t="shared" ref="D3:D20" si="4">RIGHT(A3, 3)</f>
        <v>002</v>
      </c>
      <c r="E3" s="1">
        <v>45663</v>
      </c>
      <c r="F3" t="s">
        <v>63</v>
      </c>
      <c r="G3" t="s">
        <v>16</v>
      </c>
      <c r="H3" t="str">
        <f>_xlfn.XLOOKUP(G3, 'City Lookup'!A:A, 'City Lookup'!B:B)</f>
        <v>West</v>
      </c>
      <c r="I3" t="str">
        <f t="shared" si="0"/>
        <v>Priya Reddy - Mumbai</v>
      </c>
      <c r="J3" t="s">
        <v>17</v>
      </c>
      <c r="K3" t="str">
        <f>_xlfn.XLOOKUP(J3, 'Product Lookup'!A:A, 'Product Lookup'!B:B)</f>
        <v>Wireless Mouse</v>
      </c>
      <c r="L3" t="str">
        <f>_xlfn.XLOOKUP(J3, 'Product Lookup'!A:A, 'Product Lookup'!C:C)</f>
        <v>Accessories</v>
      </c>
      <c r="M3">
        <v>3</v>
      </c>
      <c r="N3">
        <f>_xlfn.XLOOKUP(J3, 'Product Lookup'!A:A, 'Product Lookup'!D:D)</f>
        <v>800</v>
      </c>
      <c r="O3">
        <f>_xlfn.XLOOKUP(J3, 'Product Lookup'!A:A, 'Product Lookup'!E:E)</f>
        <v>450</v>
      </c>
      <c r="P3" t="s">
        <v>18</v>
      </c>
      <c r="Q3" t="s">
        <v>19</v>
      </c>
      <c r="R3">
        <f t="shared" ref="R3:R20" si="5">M3*N3</f>
        <v>2400</v>
      </c>
      <c r="S3">
        <f t="shared" ref="S3:S20" si="6">M3*O3</f>
        <v>1350</v>
      </c>
      <c r="T3">
        <f t="shared" ref="T3:T19" si="7">R3-S3</f>
        <v>1050</v>
      </c>
      <c r="U3" s="2">
        <f t="shared" ref="U3:U20" si="8">T3/R3</f>
        <v>0.4375</v>
      </c>
      <c r="V3" t="str">
        <f t="shared" si="1"/>
        <v>High Performance</v>
      </c>
      <c r="W3" t="str">
        <f t="shared" ref="W3:W20" si="9">IF(OR(T3&lt;0, R3&lt;100), "Review", "Normal")</f>
        <v>Normal</v>
      </c>
    </row>
    <row r="4" spans="1:23">
      <c r="A4" t="s">
        <v>20</v>
      </c>
      <c r="B4" t="str">
        <f t="shared" si="2"/>
        <v>DEL</v>
      </c>
      <c r="C4" t="str">
        <f t="shared" si="3"/>
        <v>25</v>
      </c>
      <c r="D4" t="str">
        <f t="shared" si="4"/>
        <v>003</v>
      </c>
      <c r="E4" s="1">
        <v>45664</v>
      </c>
      <c r="F4" t="s">
        <v>83</v>
      </c>
      <c r="G4" t="s">
        <v>22</v>
      </c>
      <c r="H4" t="str">
        <f>_xlfn.XLOOKUP(G4, 'City Lookup'!A:A, 'City Lookup'!B:B)</f>
        <v>North</v>
      </c>
      <c r="I4" t="str">
        <f t="shared" si="0"/>
        <v>Aman Khan - Delhi</v>
      </c>
      <c r="J4" t="s">
        <v>23</v>
      </c>
      <c r="K4" t="str">
        <f>_xlfn.XLOOKUP(J4, 'Product Lookup'!A:A, 'Product Lookup'!B:B)</f>
        <v>Keyboard</v>
      </c>
      <c r="L4" t="str">
        <f>_xlfn.XLOOKUP(J4, 'Product Lookup'!A:A, 'Product Lookup'!C:C)</f>
        <v>Accessories</v>
      </c>
      <c r="M4">
        <v>1</v>
      </c>
      <c r="N4">
        <f>_xlfn.XLOOKUP(J4, 'Product Lookup'!A:A, 'Product Lookup'!D:D)</f>
        <v>1500</v>
      </c>
      <c r="O4">
        <f>_xlfn.XLOOKUP(J4, 'Product Lookup'!A:A, 'Product Lookup'!E:E)</f>
        <v>900</v>
      </c>
      <c r="P4" t="s">
        <v>24</v>
      </c>
      <c r="Q4" t="s">
        <v>25</v>
      </c>
      <c r="R4">
        <f t="shared" si="5"/>
        <v>1500</v>
      </c>
      <c r="S4">
        <f t="shared" si="6"/>
        <v>900</v>
      </c>
      <c r="T4">
        <f t="shared" si="7"/>
        <v>600</v>
      </c>
      <c r="U4" s="2">
        <f t="shared" si="8"/>
        <v>0.4</v>
      </c>
      <c r="V4" t="str">
        <f t="shared" si="1"/>
        <v>High Performance</v>
      </c>
      <c r="W4" t="str">
        <f t="shared" si="9"/>
        <v>Normal</v>
      </c>
    </row>
    <row r="5" spans="1:23">
      <c r="A5" t="s">
        <v>26</v>
      </c>
      <c r="B5" t="str">
        <f t="shared" si="2"/>
        <v>HYD</v>
      </c>
      <c r="C5" t="str">
        <f t="shared" si="3"/>
        <v>25</v>
      </c>
      <c r="D5" t="str">
        <f t="shared" si="4"/>
        <v>004</v>
      </c>
      <c r="E5" s="1">
        <v>45665</v>
      </c>
      <c r="F5" t="s">
        <v>27</v>
      </c>
      <c r="G5" t="s">
        <v>10</v>
      </c>
      <c r="H5" t="str">
        <f>_xlfn.XLOOKUP(G5, 'City Lookup'!A:A, 'City Lookup'!B:B)</f>
        <v>South</v>
      </c>
      <c r="I5" t="str">
        <f t="shared" si="0"/>
        <v xml:space="preserve"> Sneha Rao - Hyderabad</v>
      </c>
      <c r="J5" t="s">
        <v>28</v>
      </c>
      <c r="K5" t="str">
        <f>_xlfn.XLOOKUP(J5, 'Product Lookup'!A:A, 'Product Lookup'!B:B)</f>
        <v>Monitor</v>
      </c>
      <c r="L5" t="str">
        <f>_xlfn.XLOOKUP(J5, 'Product Lookup'!A:A, 'Product Lookup'!C:C)</f>
        <v>Electronics</v>
      </c>
      <c r="M5">
        <v>4</v>
      </c>
      <c r="N5">
        <f>_xlfn.XLOOKUP(J5, 'Product Lookup'!A:A, 'Product Lookup'!D:D)</f>
        <v>12000</v>
      </c>
      <c r="O5">
        <f>_xlfn.XLOOKUP(J5, 'Product Lookup'!A:A, 'Product Lookup'!E:E)</f>
        <v>8500</v>
      </c>
      <c r="P5" t="s">
        <v>12</v>
      </c>
      <c r="Q5" t="s">
        <v>13</v>
      </c>
      <c r="R5">
        <f t="shared" si="5"/>
        <v>48000</v>
      </c>
      <c r="S5">
        <f t="shared" si="6"/>
        <v>34000</v>
      </c>
      <c r="T5">
        <f t="shared" si="7"/>
        <v>14000</v>
      </c>
      <c r="U5" s="2">
        <f t="shared" si="8"/>
        <v>0.29166666666666669</v>
      </c>
      <c r="V5" t="str">
        <f t="shared" si="1"/>
        <v>High Performance</v>
      </c>
      <c r="W5" t="str">
        <f t="shared" si="9"/>
        <v>Normal</v>
      </c>
    </row>
    <row r="6" spans="1:23">
      <c r="A6" t="s">
        <v>29</v>
      </c>
      <c r="B6" t="str">
        <f t="shared" si="2"/>
        <v>MUM</v>
      </c>
      <c r="C6" t="str">
        <f t="shared" si="3"/>
        <v>25</v>
      </c>
      <c r="D6" t="str">
        <f t="shared" si="4"/>
        <v>005</v>
      </c>
      <c r="E6" s="1">
        <v>45666</v>
      </c>
      <c r="F6" t="s">
        <v>30</v>
      </c>
      <c r="G6" t="s">
        <v>16</v>
      </c>
      <c r="H6" t="str">
        <f>_xlfn.XLOOKUP(G6, 'City Lookup'!A:A, 'City Lookup'!B:B)</f>
        <v>West</v>
      </c>
      <c r="I6" t="str">
        <f>_xlfn.CONCAT(F6, " - ", G6)</f>
        <v>Arjun  Mehta - Mumbai</v>
      </c>
      <c r="J6" t="s">
        <v>11</v>
      </c>
      <c r="K6" t="str">
        <f>_xlfn.XLOOKUP(J6, 'Product Lookup'!A:A, 'Product Lookup'!B:B)</f>
        <v>Laptop Stand</v>
      </c>
      <c r="L6" t="str">
        <f>_xlfn.XLOOKUP(J6, 'Product Lookup'!A:A, 'Product Lookup'!C:C)</f>
        <v>Accessories</v>
      </c>
      <c r="M6">
        <v>1</v>
      </c>
      <c r="N6">
        <f>_xlfn.XLOOKUP(J6, 'Product Lookup'!A:A, 'Product Lookup'!D:D)</f>
        <v>1200</v>
      </c>
      <c r="O6">
        <f>_xlfn.XLOOKUP(J6, 'Product Lookup'!A:A, 'Product Lookup'!E:E)</f>
        <v>800</v>
      </c>
      <c r="P6" t="s">
        <v>18</v>
      </c>
      <c r="Q6" t="s">
        <v>19</v>
      </c>
      <c r="R6">
        <f t="shared" si="5"/>
        <v>1200</v>
      </c>
      <c r="S6">
        <f t="shared" si="6"/>
        <v>800</v>
      </c>
      <c r="T6">
        <f t="shared" si="7"/>
        <v>400</v>
      </c>
      <c r="U6" s="2">
        <f t="shared" si="8"/>
        <v>0.33333333333333331</v>
      </c>
      <c r="V6" t="str">
        <f t="shared" si="1"/>
        <v>High Performance</v>
      </c>
      <c r="W6" t="str">
        <f t="shared" si="9"/>
        <v>Normal</v>
      </c>
    </row>
    <row r="7" spans="1:23">
      <c r="A7" t="s">
        <v>31</v>
      </c>
      <c r="B7" t="str">
        <f t="shared" si="2"/>
        <v>DEL</v>
      </c>
      <c r="C7" t="str">
        <f t="shared" si="3"/>
        <v>25</v>
      </c>
      <c r="D7" t="str">
        <f t="shared" si="4"/>
        <v>006</v>
      </c>
      <c r="E7" s="1">
        <v>45667</v>
      </c>
      <c r="F7" t="s">
        <v>84</v>
      </c>
      <c r="G7" t="s">
        <v>22</v>
      </c>
      <c r="H7" t="str">
        <f>_xlfn.XLOOKUP(G7, 'City Lookup'!A:A, 'City Lookup'!B:B)</f>
        <v>North</v>
      </c>
      <c r="I7" t="str">
        <f t="shared" si="0"/>
        <v>Ayesha Ali - Delhi</v>
      </c>
      <c r="J7" t="s">
        <v>33</v>
      </c>
      <c r="K7" t="str">
        <f>_xlfn.XLOOKUP(J7, 'Product Lookup'!A:A, 'Product Lookup'!B:B)</f>
        <v>Headset</v>
      </c>
      <c r="L7" t="str">
        <f>_xlfn.XLOOKUP(J7, 'Product Lookup'!A:A, 'Product Lookup'!C:C)</f>
        <v>Electronics</v>
      </c>
      <c r="M7">
        <v>5</v>
      </c>
      <c r="N7">
        <f>_xlfn.XLOOKUP(J7, 'Product Lookup'!A:A, 'Product Lookup'!D:D)</f>
        <v>3000</v>
      </c>
      <c r="O7">
        <f>_xlfn.XLOOKUP(J7, 'Product Lookup'!A:A, 'Product Lookup'!E:E)</f>
        <v>1800</v>
      </c>
      <c r="P7" t="s">
        <v>34</v>
      </c>
      <c r="Q7" t="s">
        <v>13</v>
      </c>
      <c r="R7">
        <f t="shared" si="5"/>
        <v>15000</v>
      </c>
      <c r="S7">
        <f t="shared" si="6"/>
        <v>9000</v>
      </c>
      <c r="T7">
        <f t="shared" si="7"/>
        <v>6000</v>
      </c>
      <c r="U7" s="2">
        <f t="shared" si="8"/>
        <v>0.4</v>
      </c>
      <c r="V7" t="str">
        <f t="shared" si="1"/>
        <v>High Performance</v>
      </c>
      <c r="W7" t="str">
        <f t="shared" si="9"/>
        <v>Normal</v>
      </c>
    </row>
    <row r="8" spans="1:23">
      <c r="A8" t="s">
        <v>35</v>
      </c>
      <c r="B8" t="str">
        <f t="shared" si="2"/>
        <v>HYD</v>
      </c>
      <c r="C8" t="str">
        <f t="shared" si="3"/>
        <v>25</v>
      </c>
      <c r="D8" t="str">
        <f t="shared" si="4"/>
        <v>007</v>
      </c>
      <c r="E8" s="1">
        <v>45668</v>
      </c>
      <c r="F8" t="s">
        <v>85</v>
      </c>
      <c r="G8" t="s">
        <v>10</v>
      </c>
      <c r="H8" t="str">
        <f>_xlfn.XLOOKUP(G8, 'City Lookup'!A:A, 'City Lookup'!B:B)</f>
        <v>South</v>
      </c>
      <c r="I8" t="str">
        <f t="shared" si="0"/>
        <v>Rohit Kumar  - Hyderabad</v>
      </c>
      <c r="J8" t="s">
        <v>17</v>
      </c>
      <c r="K8" t="str">
        <f>_xlfn.XLOOKUP(J8, 'Product Lookup'!A:A, 'Product Lookup'!B:B)</f>
        <v>Wireless Mouse</v>
      </c>
      <c r="L8" t="str">
        <f>_xlfn.XLOOKUP(J8, 'Product Lookup'!A:A, 'Product Lookup'!C:C)</f>
        <v>Accessories</v>
      </c>
      <c r="M8">
        <v>2</v>
      </c>
      <c r="N8">
        <f>_xlfn.XLOOKUP(J8, 'Product Lookup'!A:A, 'Product Lookup'!D:D)</f>
        <v>800</v>
      </c>
      <c r="O8">
        <f>_xlfn.XLOOKUP(J8, 'Product Lookup'!A:A, 'Product Lookup'!E:E)</f>
        <v>450</v>
      </c>
      <c r="P8" t="s">
        <v>24</v>
      </c>
      <c r="Q8" t="s">
        <v>25</v>
      </c>
      <c r="R8">
        <f t="shared" si="5"/>
        <v>1600</v>
      </c>
      <c r="S8">
        <f t="shared" si="6"/>
        <v>900</v>
      </c>
      <c r="T8">
        <f t="shared" si="7"/>
        <v>700</v>
      </c>
      <c r="U8" s="2">
        <f t="shared" si="8"/>
        <v>0.4375</v>
      </c>
      <c r="V8" t="str">
        <f t="shared" si="1"/>
        <v>High Performance</v>
      </c>
      <c r="W8" t="str">
        <f t="shared" si="9"/>
        <v>Normal</v>
      </c>
    </row>
    <row r="9" spans="1:23">
      <c r="A9" t="s">
        <v>37</v>
      </c>
      <c r="B9" t="str">
        <f t="shared" si="2"/>
        <v>MUM</v>
      </c>
      <c r="C9" t="str">
        <f t="shared" si="3"/>
        <v>25</v>
      </c>
      <c r="D9" t="str">
        <f t="shared" si="4"/>
        <v>008</v>
      </c>
      <c r="E9" s="1">
        <v>45669</v>
      </c>
      <c r="F9" t="s">
        <v>38</v>
      </c>
      <c r="G9" t="s">
        <v>16</v>
      </c>
      <c r="H9" t="str">
        <f>_xlfn.XLOOKUP(G9, 'City Lookup'!A:A, 'City Lookup'!B:B)</f>
        <v>West</v>
      </c>
      <c r="I9" t="str">
        <f t="shared" si="0"/>
        <v>Neha Verma - Mumbai</v>
      </c>
      <c r="J9" t="s">
        <v>39</v>
      </c>
      <c r="K9" t="str">
        <f>_xlfn.XLOOKUP(J9, 'Product Lookup'!A:A, 'Product Lookup'!B:B)</f>
        <v>Webcam</v>
      </c>
      <c r="L9" t="str">
        <f>_xlfn.XLOOKUP(J9, 'Product Lookup'!A:A, 'Product Lookup'!C:C)</f>
        <v>Electronics</v>
      </c>
      <c r="M9">
        <v>3</v>
      </c>
      <c r="N9">
        <f>_xlfn.XLOOKUP(J9, 'Product Lookup'!A:A, 'Product Lookup'!D:D)</f>
        <v>4500</v>
      </c>
      <c r="O9">
        <f>_xlfn.XLOOKUP(J9, 'Product Lookup'!A:A, 'Product Lookup'!E:E)</f>
        <v>2800</v>
      </c>
      <c r="P9" t="s">
        <v>18</v>
      </c>
      <c r="Q9" t="s">
        <v>19</v>
      </c>
      <c r="R9">
        <f t="shared" si="5"/>
        <v>13500</v>
      </c>
      <c r="S9">
        <f t="shared" si="6"/>
        <v>8400</v>
      </c>
      <c r="T9">
        <f t="shared" si="7"/>
        <v>5100</v>
      </c>
      <c r="U9" s="2">
        <f t="shared" si="8"/>
        <v>0.37777777777777777</v>
      </c>
      <c r="V9" t="str">
        <f t="shared" si="1"/>
        <v>High Performance</v>
      </c>
      <c r="W9" t="str">
        <f t="shared" si="9"/>
        <v>Normal</v>
      </c>
    </row>
    <row r="10" spans="1:23">
      <c r="A10" t="s">
        <v>40</v>
      </c>
      <c r="B10" t="str">
        <f t="shared" si="2"/>
        <v>DEL</v>
      </c>
      <c r="C10" t="str">
        <f t="shared" si="3"/>
        <v>25</v>
      </c>
      <c r="D10" t="str">
        <f t="shared" si="4"/>
        <v>009</v>
      </c>
      <c r="E10" s="1">
        <v>45670</v>
      </c>
      <c r="F10" t="s">
        <v>86</v>
      </c>
      <c r="G10" t="s">
        <v>22</v>
      </c>
      <c r="H10" t="str">
        <f>_xlfn.XLOOKUP(G10, 'City Lookup'!A:A, 'City Lookup'!B:B)</f>
        <v>North</v>
      </c>
      <c r="I10" t="str">
        <f t="shared" si="0"/>
        <v>Kiran Rao - Delhi</v>
      </c>
      <c r="J10" t="s">
        <v>28</v>
      </c>
      <c r="K10" t="str">
        <f>_xlfn.XLOOKUP(J10, 'Product Lookup'!A:A, 'Product Lookup'!B:B)</f>
        <v>Monitor</v>
      </c>
      <c r="L10" t="str">
        <f>_xlfn.XLOOKUP(J10, 'Product Lookup'!A:A, 'Product Lookup'!C:C)</f>
        <v>Electronics</v>
      </c>
      <c r="M10">
        <v>2</v>
      </c>
      <c r="N10">
        <f>_xlfn.XLOOKUP(J10, 'Product Lookup'!A:A, 'Product Lookup'!D:D)</f>
        <v>12000</v>
      </c>
      <c r="O10">
        <f>_xlfn.XLOOKUP(J10, 'Product Lookup'!A:A, 'Product Lookup'!E:E)</f>
        <v>8500</v>
      </c>
      <c r="P10" t="s">
        <v>34</v>
      </c>
      <c r="Q10" t="s">
        <v>13</v>
      </c>
      <c r="R10">
        <f t="shared" si="5"/>
        <v>24000</v>
      </c>
      <c r="S10">
        <f t="shared" si="6"/>
        <v>17000</v>
      </c>
      <c r="T10">
        <f t="shared" si="7"/>
        <v>7000</v>
      </c>
      <c r="U10" s="2">
        <f t="shared" si="8"/>
        <v>0.29166666666666669</v>
      </c>
      <c r="V10" t="str">
        <f t="shared" si="1"/>
        <v>High Performance</v>
      </c>
      <c r="W10" t="str">
        <f t="shared" si="9"/>
        <v>Normal</v>
      </c>
    </row>
    <row r="11" spans="1:23">
      <c r="A11" t="s">
        <v>42</v>
      </c>
      <c r="B11" t="str">
        <f t="shared" si="2"/>
        <v>HYD</v>
      </c>
      <c r="C11" t="str">
        <f t="shared" si="3"/>
        <v>25</v>
      </c>
      <c r="D11" t="str">
        <f t="shared" si="4"/>
        <v>010</v>
      </c>
      <c r="E11" s="1">
        <v>45671</v>
      </c>
      <c r="F11" t="s">
        <v>87</v>
      </c>
      <c r="G11" t="s">
        <v>10</v>
      </c>
      <c r="H11" t="str">
        <f>_xlfn.XLOOKUP(G11, 'City Lookup'!A:A, 'City Lookup'!B:B)</f>
        <v>South</v>
      </c>
      <c r="I11" t="str">
        <f t="shared" si="0"/>
        <v>Sana Khan - Hyderabad</v>
      </c>
      <c r="J11" t="s">
        <v>23</v>
      </c>
      <c r="K11" t="str">
        <f>_xlfn.XLOOKUP(J11, 'Product Lookup'!A:A, 'Product Lookup'!B:B)</f>
        <v>Keyboard</v>
      </c>
      <c r="L11" t="str">
        <f>_xlfn.XLOOKUP(J11, 'Product Lookup'!A:A, 'Product Lookup'!C:C)</f>
        <v>Accessories</v>
      </c>
      <c r="M11">
        <v>3</v>
      </c>
      <c r="N11">
        <f>_xlfn.XLOOKUP(J11, 'Product Lookup'!A:A, 'Product Lookup'!D:D)</f>
        <v>1500</v>
      </c>
      <c r="O11">
        <f>_xlfn.XLOOKUP(J11, 'Product Lookup'!A:A, 'Product Lookup'!E:E)</f>
        <v>900</v>
      </c>
      <c r="P11" t="s">
        <v>12</v>
      </c>
      <c r="Q11" t="s">
        <v>25</v>
      </c>
      <c r="R11">
        <f t="shared" si="5"/>
        <v>4500</v>
      </c>
      <c r="S11">
        <f t="shared" si="6"/>
        <v>2700</v>
      </c>
      <c r="T11">
        <f t="shared" si="7"/>
        <v>1800</v>
      </c>
      <c r="U11" s="2">
        <f t="shared" si="8"/>
        <v>0.4</v>
      </c>
      <c r="V11" t="str">
        <f t="shared" si="1"/>
        <v>High Performance</v>
      </c>
      <c r="W11" t="str">
        <f t="shared" si="9"/>
        <v>Normal</v>
      </c>
    </row>
    <row r="12" spans="1:23">
      <c r="A12" t="s">
        <v>44</v>
      </c>
      <c r="B12" t="str">
        <f t="shared" si="2"/>
        <v>MUM</v>
      </c>
      <c r="C12" t="str">
        <f t="shared" si="3"/>
        <v>25</v>
      </c>
      <c r="D12" t="str">
        <f t="shared" si="4"/>
        <v>011</v>
      </c>
      <c r="E12" s="1">
        <v>45672</v>
      </c>
      <c r="F12" t="s">
        <v>45</v>
      </c>
      <c r="G12" t="s">
        <v>16</v>
      </c>
      <c r="H12" t="str">
        <f>_xlfn.XLOOKUP(G12, 'City Lookup'!A:A, 'City Lookup'!B:B)</f>
        <v>West</v>
      </c>
      <c r="I12" t="str">
        <f t="shared" si="0"/>
        <v>Vivek Patel - Mumbai</v>
      </c>
      <c r="J12" t="s">
        <v>33</v>
      </c>
      <c r="K12" t="str">
        <f>_xlfn.XLOOKUP(J12, 'Product Lookup'!A:A, 'Product Lookup'!B:B)</f>
        <v>Headset</v>
      </c>
      <c r="L12" t="str">
        <f>_xlfn.XLOOKUP(J12, 'Product Lookup'!A:A, 'Product Lookup'!C:C)</f>
        <v>Electronics</v>
      </c>
      <c r="M12">
        <v>2</v>
      </c>
      <c r="N12">
        <f>_xlfn.XLOOKUP(J12, 'Product Lookup'!A:A, 'Product Lookup'!D:D)</f>
        <v>3000</v>
      </c>
      <c r="O12">
        <f>_xlfn.XLOOKUP(J12, 'Product Lookup'!A:A, 'Product Lookup'!E:E)</f>
        <v>1800</v>
      </c>
      <c r="P12" t="s">
        <v>24</v>
      </c>
      <c r="Q12" t="s">
        <v>13</v>
      </c>
      <c r="R12">
        <f t="shared" si="5"/>
        <v>6000</v>
      </c>
      <c r="S12">
        <f t="shared" si="6"/>
        <v>3600</v>
      </c>
      <c r="T12">
        <f t="shared" si="7"/>
        <v>2400</v>
      </c>
      <c r="U12" s="2">
        <f t="shared" si="8"/>
        <v>0.4</v>
      </c>
      <c r="V12" t="str">
        <f t="shared" si="1"/>
        <v>High Performance</v>
      </c>
      <c r="W12" t="str">
        <f t="shared" si="9"/>
        <v>Normal</v>
      </c>
    </row>
    <row r="13" spans="1:23">
      <c r="A13" t="s">
        <v>48</v>
      </c>
      <c r="B13" t="str">
        <f t="shared" si="2"/>
        <v>HYD</v>
      </c>
      <c r="C13" t="str">
        <f t="shared" si="3"/>
        <v>25</v>
      </c>
      <c r="D13" t="str">
        <f t="shared" si="4"/>
        <v>013</v>
      </c>
      <c r="E13" s="1">
        <v>45674</v>
      </c>
      <c r="F13" t="s">
        <v>94</v>
      </c>
      <c r="G13" t="s">
        <v>10</v>
      </c>
      <c r="H13" t="str">
        <f>_xlfn.XLOOKUP(G13, 'City Lookup'!A:A, 'City Lookup'!B:B)</f>
        <v>South</v>
      </c>
      <c r="I13" t="str">
        <f t="shared" si="0"/>
        <v xml:space="preserve"> Farhan Ali - Hyderabad</v>
      </c>
      <c r="J13" t="s">
        <v>11</v>
      </c>
      <c r="K13" t="str">
        <f>_xlfn.XLOOKUP(J13, 'Product Lookup'!A:A, 'Product Lookup'!B:B)</f>
        <v>Laptop Stand</v>
      </c>
      <c r="L13" t="str">
        <f>_xlfn.XLOOKUP(J13, 'Product Lookup'!A:A, 'Product Lookup'!C:C)</f>
        <v>Accessories</v>
      </c>
      <c r="M13">
        <v>3</v>
      </c>
      <c r="N13">
        <f>_xlfn.XLOOKUP(J13, 'Product Lookup'!A:A, 'Product Lookup'!D:D)</f>
        <v>1200</v>
      </c>
      <c r="O13">
        <f>_xlfn.XLOOKUP(J13, 'Product Lookup'!A:A, 'Product Lookup'!E:E)</f>
        <v>800</v>
      </c>
      <c r="P13" t="s">
        <v>12</v>
      </c>
      <c r="Q13" t="s">
        <v>13</v>
      </c>
      <c r="R13">
        <f t="shared" si="5"/>
        <v>3600</v>
      </c>
      <c r="S13">
        <f t="shared" si="6"/>
        <v>2400</v>
      </c>
      <c r="T13">
        <f t="shared" si="7"/>
        <v>1200</v>
      </c>
      <c r="U13" s="2">
        <f t="shared" si="8"/>
        <v>0.33333333333333331</v>
      </c>
      <c r="V13" t="str">
        <f t="shared" si="1"/>
        <v>High Performance</v>
      </c>
      <c r="W13" t="str">
        <f t="shared" si="9"/>
        <v>Normal</v>
      </c>
    </row>
    <row r="14" spans="1:23">
      <c r="A14" t="s">
        <v>50</v>
      </c>
      <c r="B14" t="str">
        <f t="shared" si="2"/>
        <v>MUM</v>
      </c>
      <c r="C14" t="str">
        <f t="shared" si="3"/>
        <v>25</v>
      </c>
      <c r="D14" t="str">
        <f t="shared" si="4"/>
        <v>014</v>
      </c>
      <c r="E14" s="1">
        <v>45675</v>
      </c>
      <c r="F14" t="s">
        <v>51</v>
      </c>
      <c r="G14" t="s">
        <v>16</v>
      </c>
      <c r="H14" t="str">
        <f>_xlfn.XLOOKUP(G14, 'City Lookup'!A:A, 'City Lookup'!B:B)</f>
        <v>West</v>
      </c>
      <c r="I14" t="str">
        <f t="shared" si="0"/>
        <v>Nisha Das - Mumbai</v>
      </c>
      <c r="J14" t="s">
        <v>23</v>
      </c>
      <c r="K14" t="str">
        <f>_xlfn.XLOOKUP(J14, 'Product Lookup'!A:A, 'Product Lookup'!B:B)</f>
        <v>Keyboard</v>
      </c>
      <c r="L14" t="str">
        <f>_xlfn.XLOOKUP(J14, 'Product Lookup'!A:A, 'Product Lookup'!C:C)</f>
        <v>Accessories</v>
      </c>
      <c r="M14">
        <v>2</v>
      </c>
      <c r="N14">
        <f>_xlfn.XLOOKUP(J14, 'Product Lookup'!A:A, 'Product Lookup'!D:D)</f>
        <v>1500</v>
      </c>
      <c r="O14">
        <f>_xlfn.XLOOKUP(J14, 'Product Lookup'!A:A, 'Product Lookup'!E:E)</f>
        <v>900</v>
      </c>
      <c r="P14" t="s">
        <v>18</v>
      </c>
      <c r="Q14" t="s">
        <v>25</v>
      </c>
      <c r="R14">
        <f t="shared" si="5"/>
        <v>3000</v>
      </c>
      <c r="S14">
        <f t="shared" si="6"/>
        <v>1800</v>
      </c>
      <c r="T14">
        <f t="shared" si="7"/>
        <v>1200</v>
      </c>
      <c r="U14" s="2">
        <f t="shared" si="8"/>
        <v>0.4</v>
      </c>
      <c r="V14" t="str">
        <f t="shared" si="1"/>
        <v>High Performance</v>
      </c>
      <c r="W14" t="str">
        <f t="shared" si="9"/>
        <v>Normal</v>
      </c>
    </row>
    <row r="15" spans="1:23">
      <c r="A15" t="s">
        <v>52</v>
      </c>
      <c r="B15" t="str">
        <f t="shared" si="2"/>
        <v>DEL</v>
      </c>
      <c r="C15" t="str">
        <f t="shared" si="3"/>
        <v>25</v>
      </c>
      <c r="D15" t="str">
        <f t="shared" si="4"/>
        <v>015</v>
      </c>
      <c r="E15" s="1">
        <v>45676</v>
      </c>
      <c r="F15" t="s">
        <v>53</v>
      </c>
      <c r="G15" t="s">
        <v>22</v>
      </c>
      <c r="H15" t="str">
        <f>_xlfn.XLOOKUP(G15, 'City Lookup'!A:A, 'City Lookup'!B:B)</f>
        <v>North</v>
      </c>
      <c r="I15" t="str">
        <f t="shared" si="0"/>
        <v>Ravi Kumar - Delhi</v>
      </c>
      <c r="J15" t="s">
        <v>17</v>
      </c>
      <c r="K15" t="str">
        <f>_xlfn.XLOOKUP(J15, 'Product Lookup'!A:A, 'Product Lookup'!B:B)</f>
        <v>Wireless Mouse</v>
      </c>
      <c r="L15" t="str">
        <f>_xlfn.XLOOKUP(J15, 'Product Lookup'!A:A, 'Product Lookup'!C:C)</f>
        <v>Accessories</v>
      </c>
      <c r="M15">
        <v>4</v>
      </c>
      <c r="N15">
        <f>_xlfn.XLOOKUP(J15, 'Product Lookup'!A:A, 'Product Lookup'!D:D)</f>
        <v>800</v>
      </c>
      <c r="O15">
        <f>_xlfn.XLOOKUP(J15, 'Product Lookup'!A:A, 'Product Lookup'!E:E)</f>
        <v>450</v>
      </c>
      <c r="P15" t="s">
        <v>34</v>
      </c>
      <c r="Q15" t="s">
        <v>19</v>
      </c>
      <c r="R15">
        <f t="shared" si="5"/>
        <v>3200</v>
      </c>
      <c r="S15">
        <f t="shared" si="6"/>
        <v>1800</v>
      </c>
      <c r="T15">
        <f t="shared" si="7"/>
        <v>1400</v>
      </c>
      <c r="U15" s="2">
        <f t="shared" si="8"/>
        <v>0.4375</v>
      </c>
      <c r="V15" t="str">
        <f t="shared" si="1"/>
        <v>High Performance</v>
      </c>
      <c r="W15" t="str">
        <f t="shared" si="9"/>
        <v>Normal</v>
      </c>
    </row>
    <row r="16" spans="1:23">
      <c r="A16" t="s">
        <v>54</v>
      </c>
      <c r="B16" t="str">
        <f t="shared" si="2"/>
        <v>HYD</v>
      </c>
      <c r="C16" t="str">
        <f t="shared" si="3"/>
        <v>25</v>
      </c>
      <c r="D16" t="str">
        <f t="shared" si="4"/>
        <v>016</v>
      </c>
      <c r="E16" s="1">
        <v>45677</v>
      </c>
      <c r="F16" t="s">
        <v>55</v>
      </c>
      <c r="G16" t="s">
        <v>10</v>
      </c>
      <c r="H16" t="str">
        <f>_xlfn.XLOOKUP(G16, 'City Lookup'!A:A, 'City Lookup'!B:B)</f>
        <v>South</v>
      </c>
      <c r="I16" t="str">
        <f t="shared" si="0"/>
        <v>Pooja Rao - Hyderabad</v>
      </c>
      <c r="J16" t="s">
        <v>39</v>
      </c>
      <c r="K16" t="str">
        <f>_xlfn.XLOOKUP(J16, 'Product Lookup'!A:A, 'Product Lookup'!B:B)</f>
        <v>Webcam</v>
      </c>
      <c r="L16" t="str">
        <f>_xlfn.XLOOKUP(J16, 'Product Lookup'!A:A, 'Product Lookup'!C:C)</f>
        <v>Electronics</v>
      </c>
      <c r="M16">
        <v>1</v>
      </c>
      <c r="N16">
        <f>_xlfn.XLOOKUP(J16, 'Product Lookup'!A:A, 'Product Lookup'!D:D)</f>
        <v>4500</v>
      </c>
      <c r="O16">
        <f>_xlfn.XLOOKUP(J16, 'Product Lookup'!A:A, 'Product Lookup'!E:E)</f>
        <v>2800</v>
      </c>
      <c r="P16" t="s">
        <v>24</v>
      </c>
      <c r="Q16" t="s">
        <v>13</v>
      </c>
      <c r="R16">
        <f t="shared" si="5"/>
        <v>4500</v>
      </c>
      <c r="S16">
        <f t="shared" si="6"/>
        <v>2800</v>
      </c>
      <c r="T16">
        <f t="shared" si="7"/>
        <v>1700</v>
      </c>
      <c r="U16" s="2">
        <f t="shared" si="8"/>
        <v>0.37777777777777777</v>
      </c>
      <c r="V16" t="str">
        <f t="shared" si="1"/>
        <v>High Performance</v>
      </c>
      <c r="W16" t="str">
        <f t="shared" si="9"/>
        <v>Normal</v>
      </c>
    </row>
    <row r="17" spans="1:23">
      <c r="A17" t="s">
        <v>56</v>
      </c>
      <c r="B17" t="str">
        <f t="shared" si="2"/>
        <v>MUM</v>
      </c>
      <c r="C17" t="str">
        <f t="shared" si="3"/>
        <v>25</v>
      </c>
      <c r="D17" t="str">
        <f t="shared" si="4"/>
        <v>017</v>
      </c>
      <c r="E17" s="1">
        <v>45678</v>
      </c>
      <c r="F17" t="s">
        <v>57</v>
      </c>
      <c r="G17" t="s">
        <v>16</v>
      </c>
      <c r="H17" t="str">
        <f>_xlfn.XLOOKUP(G17, 'City Lookup'!A:A, 'City Lookup'!B:B)</f>
        <v>West</v>
      </c>
      <c r="I17" t="str">
        <f t="shared" si="0"/>
        <v>Imran Khan - Mumbai</v>
      </c>
      <c r="J17" t="s">
        <v>28</v>
      </c>
      <c r="K17" t="str">
        <f>_xlfn.XLOOKUP(J17, 'Product Lookup'!A:A, 'Product Lookup'!B:B)</f>
        <v>Monitor</v>
      </c>
      <c r="L17" t="str">
        <f>_xlfn.XLOOKUP(J17, 'Product Lookup'!A:A, 'Product Lookup'!C:C)</f>
        <v>Electronics</v>
      </c>
      <c r="M17">
        <v>3</v>
      </c>
      <c r="N17">
        <f>_xlfn.XLOOKUP(J17, 'Product Lookup'!A:A, 'Product Lookup'!D:D)</f>
        <v>12000</v>
      </c>
      <c r="O17">
        <f>_xlfn.XLOOKUP(J17, 'Product Lookup'!A:A, 'Product Lookup'!E:E)</f>
        <v>8500</v>
      </c>
      <c r="P17" t="s">
        <v>18</v>
      </c>
      <c r="Q17" t="s">
        <v>19</v>
      </c>
      <c r="R17">
        <f t="shared" si="5"/>
        <v>36000</v>
      </c>
      <c r="S17">
        <f t="shared" si="6"/>
        <v>25500</v>
      </c>
      <c r="T17">
        <f t="shared" si="7"/>
        <v>10500</v>
      </c>
      <c r="U17" s="2">
        <f t="shared" si="8"/>
        <v>0.29166666666666669</v>
      </c>
      <c r="V17" t="str">
        <f t="shared" si="1"/>
        <v>High Performance</v>
      </c>
      <c r="W17" t="str">
        <f t="shared" si="9"/>
        <v>Normal</v>
      </c>
    </row>
    <row r="18" spans="1:23">
      <c r="A18" t="s">
        <v>58</v>
      </c>
      <c r="B18" t="str">
        <f t="shared" si="2"/>
        <v>DEL</v>
      </c>
      <c r="C18" t="str">
        <f t="shared" si="3"/>
        <v>25</v>
      </c>
      <c r="D18" t="str">
        <f t="shared" si="4"/>
        <v>018</v>
      </c>
      <c r="E18" s="1">
        <v>45679</v>
      </c>
      <c r="F18" t="s">
        <v>59</v>
      </c>
      <c r="G18" t="s">
        <v>22</v>
      </c>
      <c r="H18" t="str">
        <f>_xlfn.XLOOKUP(G18, 'City Lookup'!A:A, 'City Lookup'!B:B)</f>
        <v>North</v>
      </c>
      <c r="I18" t="str">
        <f t="shared" si="0"/>
        <v>Divya Shah - Delhi</v>
      </c>
      <c r="J18" t="s">
        <v>33</v>
      </c>
      <c r="K18" t="str">
        <f>_xlfn.XLOOKUP(J18, 'Product Lookup'!A:A, 'Product Lookup'!B:B)</f>
        <v>Headset</v>
      </c>
      <c r="L18" t="str">
        <f>_xlfn.XLOOKUP(J18, 'Product Lookup'!A:A, 'Product Lookup'!C:C)</f>
        <v>Electronics</v>
      </c>
      <c r="M18">
        <v>2</v>
      </c>
      <c r="N18">
        <f>_xlfn.XLOOKUP(J18, 'Product Lookup'!A:A, 'Product Lookup'!D:D)</f>
        <v>3000</v>
      </c>
      <c r="O18">
        <f>_xlfn.XLOOKUP(J18, 'Product Lookup'!A:A, 'Product Lookup'!E:E)</f>
        <v>1800</v>
      </c>
      <c r="P18" t="s">
        <v>34</v>
      </c>
      <c r="Q18" t="s">
        <v>13</v>
      </c>
      <c r="R18">
        <f t="shared" si="5"/>
        <v>6000</v>
      </c>
      <c r="S18">
        <f t="shared" si="6"/>
        <v>3600</v>
      </c>
      <c r="T18">
        <f t="shared" si="7"/>
        <v>2400</v>
      </c>
      <c r="U18" s="2">
        <f t="shared" si="8"/>
        <v>0.4</v>
      </c>
      <c r="V18" t="str">
        <f t="shared" si="1"/>
        <v>High Performance</v>
      </c>
      <c r="W18" t="str">
        <f t="shared" si="9"/>
        <v>Normal</v>
      </c>
    </row>
    <row r="19" spans="1:23">
      <c r="A19" t="s">
        <v>60</v>
      </c>
      <c r="B19" t="str">
        <f t="shared" si="2"/>
        <v>HYD</v>
      </c>
      <c r="C19" t="str">
        <f t="shared" si="3"/>
        <v>25</v>
      </c>
      <c r="D19" t="str">
        <f t="shared" si="4"/>
        <v>019</v>
      </c>
      <c r="E19" s="1">
        <v>45680</v>
      </c>
      <c r="F19" t="s">
        <v>93</v>
      </c>
      <c r="G19" t="s">
        <v>10</v>
      </c>
      <c r="H19" t="str">
        <f>_xlfn.XLOOKUP(G19, 'City Lookup'!A:A, 'City Lookup'!B:B)</f>
        <v>South</v>
      </c>
      <c r="I19" t="str">
        <f t="shared" si="0"/>
        <v>Rahul Sharma  - Hyderabad</v>
      </c>
      <c r="J19" t="s">
        <v>11</v>
      </c>
      <c r="K19" t="str">
        <f>_xlfn.XLOOKUP(J19, 'Product Lookup'!A:A, 'Product Lookup'!B:B)</f>
        <v>Laptop Stand</v>
      </c>
      <c r="L19" t="str">
        <f>_xlfn.XLOOKUP(J19, 'Product Lookup'!A:A, 'Product Lookup'!C:C)</f>
        <v>Accessories</v>
      </c>
      <c r="M19">
        <v>2</v>
      </c>
      <c r="N19">
        <f>_xlfn.XLOOKUP(J19, 'Product Lookup'!A:A, 'Product Lookup'!D:D)</f>
        <v>1200</v>
      </c>
      <c r="O19">
        <f>_xlfn.XLOOKUP(J19, 'Product Lookup'!A:A, 'Product Lookup'!E:E)</f>
        <v>800</v>
      </c>
      <c r="P19" t="s">
        <v>12</v>
      </c>
      <c r="Q19" t="s">
        <v>13</v>
      </c>
      <c r="R19">
        <f t="shared" si="5"/>
        <v>2400</v>
      </c>
      <c r="S19">
        <f t="shared" si="6"/>
        <v>1600</v>
      </c>
      <c r="T19">
        <f t="shared" si="7"/>
        <v>800</v>
      </c>
      <c r="U19" s="2">
        <f t="shared" si="8"/>
        <v>0.33333333333333331</v>
      </c>
      <c r="V19" t="str">
        <f t="shared" si="1"/>
        <v>High Performance</v>
      </c>
      <c r="W19" t="str">
        <f t="shared" si="9"/>
        <v>Normal</v>
      </c>
    </row>
    <row r="20" spans="1:23">
      <c r="A20" t="s">
        <v>62</v>
      </c>
      <c r="B20" t="str">
        <f t="shared" si="2"/>
        <v>MUM</v>
      </c>
      <c r="C20" t="str">
        <f t="shared" si="3"/>
        <v>25</v>
      </c>
      <c r="D20" t="str">
        <f t="shared" si="4"/>
        <v>020</v>
      </c>
      <c r="E20" s="1">
        <v>45681</v>
      </c>
      <c r="F20" t="s">
        <v>63</v>
      </c>
      <c r="G20" t="s">
        <v>16</v>
      </c>
      <c r="H20" t="str">
        <f>_xlfn.XLOOKUP(G20, 'City Lookup'!A:A, 'City Lookup'!B:B)</f>
        <v>West</v>
      </c>
      <c r="I20" t="str">
        <f t="shared" si="0"/>
        <v>Priya Reddy - Mumbai</v>
      </c>
      <c r="J20" t="s">
        <v>17</v>
      </c>
      <c r="K20" t="str">
        <f>_xlfn.XLOOKUP(J20, 'Product Lookup'!A:A, 'Product Lookup'!B:B)</f>
        <v>Wireless Mouse</v>
      </c>
      <c r="L20" t="str">
        <f>_xlfn.XLOOKUP(J20, 'Product Lookup'!A:A, 'Product Lookup'!C:C)</f>
        <v>Accessories</v>
      </c>
      <c r="M20">
        <v>1</v>
      </c>
      <c r="N20">
        <f>_xlfn.XLOOKUP(J20, 'Product Lookup'!A:A, 'Product Lookup'!D:D)</f>
        <v>800</v>
      </c>
      <c r="O20">
        <f>_xlfn.XLOOKUP(J20, 'Product Lookup'!A:A, 'Product Lookup'!E:E)</f>
        <v>450</v>
      </c>
      <c r="P20" t="s">
        <v>18</v>
      </c>
      <c r="Q20" t="s">
        <v>19</v>
      </c>
      <c r="R20">
        <f t="shared" si="5"/>
        <v>800</v>
      </c>
      <c r="S20">
        <f t="shared" si="6"/>
        <v>450</v>
      </c>
      <c r="T20">
        <f>R20-S20</f>
        <v>350</v>
      </c>
      <c r="U20" s="2">
        <f t="shared" si="8"/>
        <v>0.4375</v>
      </c>
      <c r="V20" t="str">
        <f t="shared" si="1"/>
        <v>Regular</v>
      </c>
      <c r="W20" t="str">
        <f t="shared" si="9"/>
        <v>Normal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D9D9-D1D8-4984-AD8A-975469010641}">
  <dimension ref="A1:F2"/>
  <sheetViews>
    <sheetView workbookViewId="0"/>
  </sheetViews>
  <sheetFormatPr defaultRowHeight="14.6"/>
  <cols>
    <col min="1" max="1" width="12.765625" customWidth="1"/>
    <col min="2" max="2" width="9.921875" customWidth="1"/>
    <col min="3" max="3" width="14.15234375" customWidth="1"/>
    <col min="4" max="4" width="20.69140625" bestFit="1" customWidth="1"/>
    <col min="5" max="5" width="28.61328125" bestFit="1" customWidth="1"/>
    <col min="6" max="6" width="26" bestFit="1" customWidth="1"/>
  </cols>
  <sheetData>
    <row r="1" spans="1:6">
      <c r="A1" t="s">
        <v>101</v>
      </c>
      <c r="B1" t="s">
        <v>102</v>
      </c>
      <c r="C1" t="s">
        <v>103</v>
      </c>
      <c r="D1" t="s">
        <v>104</v>
      </c>
      <c r="E1" t="s">
        <v>105</v>
      </c>
      <c r="F1" t="s">
        <v>106</v>
      </c>
    </row>
    <row r="2" spans="1:6">
      <c r="A2">
        <f>SUM('Clean data'!R:R)</f>
        <v>179600</v>
      </c>
      <c r="B2">
        <f>SUM('Clean data'!T:T)</f>
        <v>59400</v>
      </c>
      <c r="C2">
        <f>SUM('Clean data'!M:M)</f>
        <v>46</v>
      </c>
      <c r="D2">
        <f>COUNTA('Clean data'!A:A) - 1</f>
        <v>19</v>
      </c>
      <c r="E2">
        <f>AVERAGE('Clean data'!R:R)</f>
        <v>9452.6315789473683</v>
      </c>
      <c r="F2">
        <f>AVERAGE('Clean data'!S:S)</f>
        <v>6326.3157894736842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1DF4-2BFA-4843-90ED-9422CB77E0F7}">
  <dimension ref="A1:H22"/>
  <sheetViews>
    <sheetView workbookViewId="0"/>
  </sheetViews>
  <sheetFormatPr defaultRowHeight="14.6"/>
  <cols>
    <col min="2" max="2" width="9.15234375" customWidth="1"/>
    <col min="3" max="3" width="15.15234375" customWidth="1"/>
  </cols>
  <sheetData>
    <row r="1" spans="1:8">
      <c r="A1" t="s">
        <v>0</v>
      </c>
      <c r="B1" t="s">
        <v>1</v>
      </c>
      <c r="C1" t="s">
        <v>2</v>
      </c>
      <c r="D1" t="s">
        <v>3</v>
      </c>
      <c r="E1" t="s">
        <v>4</v>
      </c>
      <c r="F1" t="s">
        <v>5</v>
      </c>
      <c r="G1" t="s">
        <v>6</v>
      </c>
      <c r="H1" t="s">
        <v>7</v>
      </c>
    </row>
    <row r="2" spans="1:8">
      <c r="A2" t="s">
        <v>8</v>
      </c>
      <c r="B2" s="1">
        <v>45662</v>
      </c>
      <c r="C2" t="s">
        <v>9</v>
      </c>
      <c r="D2" t="s">
        <v>10</v>
      </c>
      <c r="E2" t="s">
        <v>11</v>
      </c>
      <c r="F2">
        <v>2</v>
      </c>
      <c r="G2" t="s">
        <v>12</v>
      </c>
      <c r="H2" t="s">
        <v>13</v>
      </c>
    </row>
    <row r="3" spans="1:8">
      <c r="A3" t="s">
        <v>14</v>
      </c>
      <c r="B3" s="1">
        <v>45663</v>
      </c>
      <c r="C3" t="s">
        <v>15</v>
      </c>
      <c r="D3" t="s">
        <v>16</v>
      </c>
      <c r="E3" t="s">
        <v>17</v>
      </c>
      <c r="F3">
        <v>3</v>
      </c>
      <c r="G3" t="s">
        <v>18</v>
      </c>
      <c r="H3" t="s">
        <v>19</v>
      </c>
    </row>
    <row r="4" spans="1:8">
      <c r="A4" t="s">
        <v>20</v>
      </c>
      <c r="B4" s="1">
        <v>45664</v>
      </c>
      <c r="C4" t="s">
        <v>21</v>
      </c>
      <c r="D4" t="s">
        <v>22</v>
      </c>
      <c r="E4" t="s">
        <v>23</v>
      </c>
      <c r="F4">
        <v>1</v>
      </c>
      <c r="G4" t="s">
        <v>24</v>
      </c>
      <c r="H4" t="s">
        <v>25</v>
      </c>
    </row>
    <row r="5" spans="1:8">
      <c r="A5" t="s">
        <v>26</v>
      </c>
      <c r="B5" s="1">
        <v>45665</v>
      </c>
      <c r="C5" t="s">
        <v>27</v>
      </c>
      <c r="D5" t="s">
        <v>10</v>
      </c>
      <c r="E5" t="s">
        <v>28</v>
      </c>
      <c r="F5">
        <v>4</v>
      </c>
      <c r="G5" t="s">
        <v>12</v>
      </c>
      <c r="H5" t="s">
        <v>13</v>
      </c>
    </row>
    <row r="6" spans="1:8">
      <c r="A6" t="s">
        <v>29</v>
      </c>
      <c r="B6" s="1">
        <v>45666</v>
      </c>
      <c r="C6" t="s">
        <v>30</v>
      </c>
      <c r="D6" t="s">
        <v>16</v>
      </c>
      <c r="E6" t="s">
        <v>11</v>
      </c>
      <c r="F6">
        <v>1</v>
      </c>
      <c r="G6" t="s">
        <v>18</v>
      </c>
      <c r="H6" t="s">
        <v>19</v>
      </c>
    </row>
    <row r="7" spans="1:8">
      <c r="A7" t="s">
        <v>31</v>
      </c>
      <c r="B7" s="1">
        <v>45667</v>
      </c>
      <c r="C7" t="s">
        <v>32</v>
      </c>
      <c r="D7" t="s">
        <v>22</v>
      </c>
      <c r="E7" t="s">
        <v>33</v>
      </c>
      <c r="F7">
        <v>5</v>
      </c>
      <c r="G7" t="s">
        <v>34</v>
      </c>
      <c r="H7" t="s">
        <v>13</v>
      </c>
    </row>
    <row r="8" spans="1:8">
      <c r="A8" t="s">
        <v>35</v>
      </c>
      <c r="B8" s="1">
        <v>45668</v>
      </c>
      <c r="C8" t="s">
        <v>36</v>
      </c>
      <c r="D8" t="s">
        <v>10</v>
      </c>
      <c r="E8" t="s">
        <v>17</v>
      </c>
      <c r="F8">
        <v>2</v>
      </c>
      <c r="G8" t="s">
        <v>24</v>
      </c>
      <c r="H8" t="s">
        <v>25</v>
      </c>
    </row>
    <row r="9" spans="1:8">
      <c r="A9" t="s">
        <v>37</v>
      </c>
      <c r="B9" s="1">
        <v>45669</v>
      </c>
      <c r="C9" t="s">
        <v>38</v>
      </c>
      <c r="D9" t="s">
        <v>16</v>
      </c>
      <c r="E9" t="s">
        <v>39</v>
      </c>
      <c r="F9">
        <v>3</v>
      </c>
      <c r="G9" t="s">
        <v>18</v>
      </c>
      <c r="H9" t="s">
        <v>19</v>
      </c>
    </row>
    <row r="10" spans="1:8">
      <c r="A10" t="s">
        <v>40</v>
      </c>
      <c r="B10" s="1">
        <v>45670</v>
      </c>
      <c r="C10" t="s">
        <v>41</v>
      </c>
      <c r="D10" t="s">
        <v>22</v>
      </c>
      <c r="E10" t="s">
        <v>28</v>
      </c>
      <c r="F10">
        <v>2</v>
      </c>
      <c r="G10" t="s">
        <v>34</v>
      </c>
      <c r="H10" t="s">
        <v>13</v>
      </c>
    </row>
    <row r="11" spans="1:8">
      <c r="A11" t="s">
        <v>42</v>
      </c>
      <c r="B11" s="1">
        <v>45671</v>
      </c>
      <c r="C11" t="s">
        <v>43</v>
      </c>
      <c r="D11" t="s">
        <v>10</v>
      </c>
      <c r="E11" t="s">
        <v>23</v>
      </c>
      <c r="F11">
        <v>3</v>
      </c>
      <c r="G11" t="s">
        <v>12</v>
      </c>
      <c r="H11" t="s">
        <v>25</v>
      </c>
    </row>
    <row r="12" spans="1:8">
      <c r="A12" t="s">
        <v>44</v>
      </c>
      <c r="B12" s="1">
        <v>45672</v>
      </c>
      <c r="C12" t="s">
        <v>45</v>
      </c>
      <c r="D12" t="s">
        <v>16</v>
      </c>
      <c r="E12" t="s">
        <v>33</v>
      </c>
      <c r="F12">
        <v>2</v>
      </c>
      <c r="G12" t="s">
        <v>24</v>
      </c>
      <c r="H12" t="s">
        <v>13</v>
      </c>
    </row>
    <row r="13" spans="1:8">
      <c r="A13" t="s">
        <v>46</v>
      </c>
      <c r="B13" s="1">
        <v>45673</v>
      </c>
      <c r="C13" t="s">
        <v>47</v>
      </c>
      <c r="D13" t="s">
        <v>22</v>
      </c>
      <c r="E13" t="s">
        <v>39</v>
      </c>
      <c r="F13">
        <v>4</v>
      </c>
      <c r="G13" t="s">
        <v>34</v>
      </c>
    </row>
    <row r="14" spans="1:8">
      <c r="A14" t="s">
        <v>48</v>
      </c>
      <c r="B14" s="1">
        <v>45674</v>
      </c>
      <c r="C14" t="s">
        <v>49</v>
      </c>
      <c r="D14" t="s">
        <v>10</v>
      </c>
      <c r="E14" t="s">
        <v>11</v>
      </c>
      <c r="F14">
        <v>3</v>
      </c>
      <c r="G14" t="s">
        <v>12</v>
      </c>
      <c r="H14" t="s">
        <v>13</v>
      </c>
    </row>
    <row r="15" spans="1:8">
      <c r="A15" t="s">
        <v>50</v>
      </c>
      <c r="B15" s="1">
        <v>45675</v>
      </c>
      <c r="C15" t="s">
        <v>51</v>
      </c>
      <c r="D15" t="s">
        <v>16</v>
      </c>
      <c r="E15" t="s">
        <v>23</v>
      </c>
      <c r="F15">
        <v>2</v>
      </c>
      <c r="G15" t="s">
        <v>18</v>
      </c>
      <c r="H15" t="s">
        <v>25</v>
      </c>
    </row>
    <row r="16" spans="1:8">
      <c r="A16" t="s">
        <v>52</v>
      </c>
      <c r="B16" s="1">
        <v>45676</v>
      </c>
      <c r="C16" t="s">
        <v>53</v>
      </c>
      <c r="D16" t="s">
        <v>22</v>
      </c>
      <c r="E16" t="s">
        <v>17</v>
      </c>
      <c r="F16">
        <v>4</v>
      </c>
      <c r="G16" t="s">
        <v>34</v>
      </c>
      <c r="H16" t="s">
        <v>19</v>
      </c>
    </row>
    <row r="17" spans="1:8">
      <c r="A17" t="s">
        <v>54</v>
      </c>
      <c r="B17" s="1">
        <v>45677</v>
      </c>
      <c r="C17" t="s">
        <v>55</v>
      </c>
      <c r="D17" t="s">
        <v>10</v>
      </c>
      <c r="E17" t="s">
        <v>39</v>
      </c>
      <c r="F17">
        <v>1</v>
      </c>
      <c r="G17" t="s">
        <v>24</v>
      </c>
      <c r="H17" t="s">
        <v>13</v>
      </c>
    </row>
    <row r="18" spans="1:8">
      <c r="A18" t="s">
        <v>56</v>
      </c>
      <c r="B18" s="1">
        <v>45678</v>
      </c>
      <c r="C18" t="s">
        <v>57</v>
      </c>
      <c r="D18" t="s">
        <v>16</v>
      </c>
      <c r="E18" t="s">
        <v>28</v>
      </c>
      <c r="F18">
        <v>3</v>
      </c>
      <c r="G18" t="s">
        <v>18</v>
      </c>
      <c r="H18" t="s">
        <v>19</v>
      </c>
    </row>
    <row r="19" spans="1:8">
      <c r="A19" t="s">
        <v>58</v>
      </c>
      <c r="B19" s="1">
        <v>45679</v>
      </c>
      <c r="C19" t="s">
        <v>59</v>
      </c>
      <c r="D19" t="s">
        <v>22</v>
      </c>
      <c r="E19" t="s">
        <v>33</v>
      </c>
      <c r="F19">
        <v>2</v>
      </c>
      <c r="G19" t="s">
        <v>34</v>
      </c>
      <c r="H19" t="s">
        <v>13</v>
      </c>
    </row>
    <row r="20" spans="1:8">
      <c r="A20" t="s">
        <v>60</v>
      </c>
      <c r="B20" s="1">
        <v>45680</v>
      </c>
      <c r="C20" t="s">
        <v>61</v>
      </c>
      <c r="D20" t="s">
        <v>10</v>
      </c>
      <c r="E20" t="s">
        <v>11</v>
      </c>
      <c r="F20">
        <v>2</v>
      </c>
      <c r="G20" t="s">
        <v>12</v>
      </c>
      <c r="H20" t="s">
        <v>13</v>
      </c>
    </row>
    <row r="21" spans="1:8">
      <c r="A21" t="s">
        <v>60</v>
      </c>
      <c r="B21" s="1">
        <v>45680</v>
      </c>
      <c r="C21" t="s">
        <v>61</v>
      </c>
      <c r="D21" t="s">
        <v>10</v>
      </c>
      <c r="E21" t="s">
        <v>11</v>
      </c>
      <c r="F21">
        <v>2</v>
      </c>
      <c r="G21" t="s">
        <v>12</v>
      </c>
      <c r="H21" t="s">
        <v>13</v>
      </c>
    </row>
    <row r="22" spans="1:8">
      <c r="A22" t="s">
        <v>62</v>
      </c>
      <c r="B22" s="1">
        <v>45681</v>
      </c>
      <c r="C22" t="s">
        <v>63</v>
      </c>
      <c r="D22" t="s">
        <v>16</v>
      </c>
      <c r="E22" t="s">
        <v>17</v>
      </c>
      <c r="F22">
        <v>1</v>
      </c>
      <c r="G22" t="s">
        <v>18</v>
      </c>
      <c r="H22" t="s">
        <v>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451F-8CD1-49E3-9706-2ABFBE0026AD}">
  <dimension ref="A1:E7"/>
  <sheetViews>
    <sheetView workbookViewId="0"/>
  </sheetViews>
  <sheetFormatPr defaultRowHeight="14.6"/>
  <sheetData>
    <row r="1" spans="1:5">
      <c r="A1" t="s">
        <v>4</v>
      </c>
      <c r="B1" t="s">
        <v>64</v>
      </c>
      <c r="C1" t="s">
        <v>65</v>
      </c>
      <c r="D1" t="s">
        <v>66</v>
      </c>
      <c r="E1" t="s">
        <v>67</v>
      </c>
    </row>
    <row r="2" spans="1:5">
      <c r="A2" t="s">
        <v>11</v>
      </c>
      <c r="B2" t="s">
        <v>68</v>
      </c>
      <c r="C2" t="s">
        <v>69</v>
      </c>
      <c r="D2">
        <v>1200</v>
      </c>
      <c r="E2">
        <v>800</v>
      </c>
    </row>
    <row r="3" spans="1:5">
      <c r="A3" t="s">
        <v>17</v>
      </c>
      <c r="B3" t="s">
        <v>70</v>
      </c>
      <c r="C3" t="s">
        <v>69</v>
      </c>
      <c r="D3">
        <v>800</v>
      </c>
      <c r="E3">
        <v>450</v>
      </c>
    </row>
    <row r="4" spans="1:5">
      <c r="A4" t="s">
        <v>23</v>
      </c>
      <c r="B4" t="s">
        <v>71</v>
      </c>
      <c r="C4" t="s">
        <v>69</v>
      </c>
      <c r="D4">
        <v>1500</v>
      </c>
      <c r="E4">
        <v>900</v>
      </c>
    </row>
    <row r="5" spans="1:5">
      <c r="A5" t="s">
        <v>28</v>
      </c>
      <c r="B5" t="s">
        <v>72</v>
      </c>
      <c r="C5" t="s">
        <v>73</v>
      </c>
      <c r="D5">
        <v>12000</v>
      </c>
      <c r="E5">
        <v>8500</v>
      </c>
    </row>
    <row r="6" spans="1:5">
      <c r="A6" t="s">
        <v>33</v>
      </c>
      <c r="B6" t="s">
        <v>74</v>
      </c>
      <c r="C6" t="s">
        <v>73</v>
      </c>
      <c r="D6">
        <v>3000</v>
      </c>
      <c r="E6">
        <v>1800</v>
      </c>
    </row>
    <row r="7" spans="1:5">
      <c r="A7" t="s">
        <v>39</v>
      </c>
      <c r="B7" t="s">
        <v>75</v>
      </c>
      <c r="C7" t="s">
        <v>73</v>
      </c>
      <c r="D7">
        <v>4500</v>
      </c>
      <c r="E7">
        <v>2800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01185-D5AE-4408-93D9-DCA0574974C8}">
  <dimension ref="A1:B4"/>
  <sheetViews>
    <sheetView workbookViewId="0"/>
  </sheetViews>
  <sheetFormatPr defaultRowHeight="14.6"/>
  <sheetData>
    <row r="1" spans="1:2">
      <c r="A1" t="s">
        <v>3</v>
      </c>
      <c r="B1" t="s">
        <v>76</v>
      </c>
    </row>
    <row r="2" spans="1:2">
      <c r="A2" t="s">
        <v>10</v>
      </c>
      <c r="B2" t="s">
        <v>77</v>
      </c>
    </row>
    <row r="3" spans="1:2">
      <c r="A3" t="s">
        <v>16</v>
      </c>
      <c r="B3" t="s">
        <v>78</v>
      </c>
    </row>
    <row r="4" spans="1:2">
      <c r="A4" t="s">
        <v>22</v>
      </c>
      <c r="B4"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Pivot Analysis</vt:lpstr>
      <vt:lpstr>Dashboard</vt:lpstr>
      <vt:lpstr>Insights</vt:lpstr>
      <vt:lpstr>Clean data</vt:lpstr>
      <vt:lpstr>Calculations</vt:lpstr>
      <vt:lpstr>Raw Data</vt:lpstr>
      <vt:lpstr>Product Lookup</vt:lpstr>
      <vt:lpstr>City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swathi bondi</cp:lastModifiedBy>
  <dcterms:created xsi:type="dcterms:W3CDTF">2026-10-02T04:35:40Z</dcterms:created>
  <dcterms:modified xsi:type="dcterms:W3CDTF">2026-10-23T06:40:54Z</dcterms:modified>
</cp:coreProperties>
</file>