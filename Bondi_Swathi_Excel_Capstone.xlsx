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11" documentId="8_{77FA57DC-0E3D-4834-A293-223E7F9350A3}" xr6:coauthVersionLast="47" xr6:coauthVersionMax="47" xr10:uidLastSave="{8E9FF9D5-D6C0-4619-9431-67EFE124406A}"/>
  <bookViews>
    <workbookView xWindow="-103" yWindow="-103" windowWidth="16663" windowHeight="9772" xr2:uid="{D1FB04F3-A4CD-480A-8DF7-74D3918A883C}"/>
  </bookViews>
  <sheets>
    <sheet name="Pivot_Analysis" sheetId="7" r:id="rId1"/>
    <sheet name="Executive_Dashboard" sheetId="8" r:id="rId2"/>
    <sheet name="Clean_Data_Warehouse" sheetId="5" r:id="rId3"/>
    <sheet name="Raw_Orders" sheetId="1" r:id="rId4"/>
    <sheet name="Master_Customers" sheetId="2" r:id="rId5"/>
    <sheet name="Product_Catalog" sheetId="3" r:id="rId6"/>
  </sheets>
  <definedNames>
    <definedName name="ExternalData_1" localSheetId="2" hidden="1">Clean_Data_Warehouse!$A$1:$G$8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I2" i="5"/>
  <c r="I3" i="5"/>
  <c r="I4" i="5"/>
  <c r="I5" i="5"/>
  <c r="I6" i="5"/>
  <c r="I7" i="5"/>
  <c r="I8" i="5"/>
  <c r="H2" i="5"/>
  <c r="H3" i="5"/>
  <c r="H4" i="5"/>
  <c r="H5" i="5"/>
  <c r="H6" i="5"/>
  <c r="H7" i="5"/>
  <c r="H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35C929-0411-4D83-8D05-17F97EA384DE}" keepAlive="1" name="Query - Master_Customers" description="Connection to the 'Master_Customers' query in the workbook." type="5" refreshedVersion="0" background="1">
    <dbPr connection="Provider=Microsoft.Mashup.OleDb.1;Data Source=$Workbook$;Location=Master_Customers;Extended Properties=&quot;&quot;" command="SELECT * FROM [Master_Customers]"/>
  </connection>
  <connection id="2" xr16:uid="{0B80519D-0CC8-4FC2-A911-751C096B47A5}" keepAlive="1" name="Query - Product_Catalog" description="Connection to the 'Product_Catalog' query in the workbook." type="5" refreshedVersion="0" background="1">
    <dbPr connection="Provider=Microsoft.Mashup.OleDb.1;Data Source=$Workbook$;Location=Product_Catalog;Extended Properties=&quot;&quot;" command="SELECT * FROM [Product_Catalog]"/>
  </connection>
  <connection id="3" xr16:uid="{F9A66E64-9FC3-4F08-B6EB-05D2B20A0C8B}" keepAlive="1" name="Query - Raw_Orders" description="Connection to the 'Raw_Orders' query in the workbook." type="5" refreshedVersion="8" background="1" saveData="1">
    <dbPr connection="Provider=Microsoft.Mashup.OleDb.1;Data Source=$Workbook$;Location=Raw_Orders;Extended Properties=&quot;&quot;" command="SELECT * FROM [Raw_Orders]"/>
  </connection>
</connections>
</file>

<file path=xl/sharedStrings.xml><?xml version="1.0" encoding="utf-8"?>
<sst xmlns="http://schemas.openxmlformats.org/spreadsheetml/2006/main" count="128" uniqueCount="52">
  <si>
    <t>Order_ID</t>
  </si>
  <si>
    <t>Customer_ID</t>
  </si>
  <si>
    <t>Product_Code</t>
  </si>
  <si>
    <t>Units_Sold</t>
  </si>
  <si>
    <t>TXN-101</t>
  </si>
  <si>
    <t>C-901</t>
  </si>
  <si>
    <t>PROD-9921-X</t>
  </si>
  <si>
    <t>TXN-102</t>
  </si>
  <si>
    <t>C-904</t>
  </si>
  <si>
    <t>PROD-4012-M</t>
  </si>
  <si>
    <t>TXN-103</t>
  </si>
  <si>
    <t>C-902</t>
  </si>
  <si>
    <t>TXN-104</t>
  </si>
  <si>
    <t>PROD-8815-S</t>
  </si>
  <si>
    <t>TXN-105</t>
  </si>
  <si>
    <t>C-903</t>
  </si>
  <si>
    <t>TXN-106</t>
  </si>
  <si>
    <t>TXN-107</t>
  </si>
  <si>
    <t>C-905</t>
  </si>
  <si>
    <t>Customer_Name</t>
  </si>
  <si>
    <t>Region</t>
  </si>
  <si>
    <t>Acme Retail</t>
  </si>
  <si>
    <t>North</t>
  </si>
  <si>
    <t>Nexus Logistics</t>
  </si>
  <si>
    <t>West</t>
  </si>
  <si>
    <t>Apex Systems</t>
  </si>
  <si>
    <t>East</t>
  </si>
  <si>
    <t>Beacon Tech</t>
  </si>
  <si>
    <t>South</t>
  </si>
  <si>
    <t>Horizon Group</t>
  </si>
  <si>
    <t>Base_Price</t>
  </si>
  <si>
    <t>Column1</t>
  </si>
  <si>
    <t>Column2</t>
  </si>
  <si>
    <t>Column3</t>
  </si>
  <si>
    <t>Column4</t>
  </si>
  <si>
    <t>Master_Customers.Customer_Name</t>
  </si>
  <si>
    <t>Master_Customers.Region</t>
  </si>
  <si>
    <t>Product_Catalog.Base_Price</t>
  </si>
  <si>
    <t>150</t>
  </si>
  <si>
    <t>85</t>
  </si>
  <si>
    <t>45</t>
  </si>
  <si>
    <t>Product Type</t>
  </si>
  <si>
    <t>Gross Revenue</t>
  </si>
  <si>
    <t>Order Tier</t>
  </si>
  <si>
    <t>Row Labels</t>
  </si>
  <si>
    <t>Grand Total</t>
  </si>
  <si>
    <t>Column Labels</t>
  </si>
  <si>
    <t>High-Value</t>
  </si>
  <si>
    <t>Low-Value</t>
  </si>
  <si>
    <t>Standard</t>
  </si>
  <si>
    <t>Sum of Gross Revenue</t>
  </si>
  <si>
    <t>Revenue Performance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</si>
</sst>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75"/>
      <color theme="1"/>
      <name val="Arial"/>
      <family val="2"/>
    </font>
    <font>
      <sz val="9.7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[Bondi_Swathi_Excel_Capstone.xlsx]Pivot_Analysis!PivotTable2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Performance by Region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High-Value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Pivot_Analysis!$A$5:$A$15</c:f>
              <c:multiLvlStrCache>
                <c:ptCount val="5"/>
                <c:lvl>
                  <c:pt idx="0">
                    <c:v>North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West</c:v>
                  </c:pt>
                </c:lvl>
                <c:lvl>
                  <c:pt idx="0">
                    <c:v>Acme Retail</c:v>
                  </c:pt>
                  <c:pt idx="1">
                    <c:v>Apex Systems</c:v>
                  </c:pt>
                  <c:pt idx="2">
                    <c:v>Beacon Tech</c:v>
                  </c:pt>
                  <c:pt idx="3">
                    <c:v>Horizon Group</c:v>
                  </c:pt>
                  <c:pt idx="4">
                    <c:v>Nexus Logistics</c:v>
                  </c:pt>
                </c:lvl>
              </c:multiLvlStrCache>
            </c:multiLvlStrRef>
          </c:cat>
          <c:val>
            <c:numRef>
              <c:f>Pivot_Analysis!$B$5:$B$15</c:f>
              <c:numCache>
                <c:formatCode>General</c:formatCode>
                <c:ptCount val="5"/>
                <c:pt idx="4">
                  <c:v>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3-4A55-8531-43662FA7B064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Low-Value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Pivot_Analysis!$A$5:$A$15</c:f>
              <c:multiLvlStrCache>
                <c:ptCount val="5"/>
                <c:lvl>
                  <c:pt idx="0">
                    <c:v>North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West</c:v>
                  </c:pt>
                </c:lvl>
                <c:lvl>
                  <c:pt idx="0">
                    <c:v>Acme Retail</c:v>
                  </c:pt>
                  <c:pt idx="1">
                    <c:v>Apex Systems</c:v>
                  </c:pt>
                  <c:pt idx="2">
                    <c:v>Beacon Tech</c:v>
                  </c:pt>
                  <c:pt idx="3">
                    <c:v>Horizon Group</c:v>
                  </c:pt>
                  <c:pt idx="4">
                    <c:v>Nexus Logistics</c:v>
                  </c:pt>
                </c:lvl>
              </c:multiLvlStrCache>
            </c:multiLvlStrRef>
          </c:cat>
          <c:val>
            <c:numRef>
              <c:f>Pivot_Analysis!$C$5:$C$15</c:f>
              <c:numCache>
                <c:formatCode>General</c:formatCode>
                <c:ptCount val="5"/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3-4A55-8531-43662FA7B064}"/>
            </c:ext>
          </c:extLst>
        </c:ser>
        <c:ser>
          <c:idx val="2"/>
          <c:order val="2"/>
          <c:tx>
            <c:strRef>
              <c:f>Pivot_Analysis!$D$3:$D$4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Pivot_Analysis!$A$5:$A$15</c:f>
              <c:multiLvlStrCache>
                <c:ptCount val="5"/>
                <c:lvl>
                  <c:pt idx="0">
                    <c:v>North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West</c:v>
                  </c:pt>
                </c:lvl>
                <c:lvl>
                  <c:pt idx="0">
                    <c:v>Acme Retail</c:v>
                  </c:pt>
                  <c:pt idx="1">
                    <c:v>Apex Systems</c:v>
                  </c:pt>
                  <c:pt idx="2">
                    <c:v>Beacon Tech</c:v>
                  </c:pt>
                  <c:pt idx="3">
                    <c:v>Horizon Group</c:v>
                  </c:pt>
                  <c:pt idx="4">
                    <c:v>Nexus Logistics</c:v>
                  </c:pt>
                </c:lvl>
              </c:multiLvlStrCache>
            </c:multiLvlStrRef>
          </c:cat>
          <c:val>
            <c:numRef>
              <c:f>Pivot_Analysis!$D$5:$D$15</c:f>
              <c:numCache>
                <c:formatCode>General</c:formatCode>
                <c:ptCount val="5"/>
                <c:pt idx="0">
                  <c:v>1430</c:v>
                </c:pt>
                <c:pt idx="2">
                  <c:v>540</c:v>
                </c:pt>
                <c:pt idx="3">
                  <c:v>600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3-4A55-8531-43662FA7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689471"/>
        <c:axId val="1515398143"/>
      </c:barChart>
      <c:catAx>
        <c:axId val="163768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398143"/>
        <c:crosses val="autoZero"/>
        <c:auto val="1"/>
        <c:lblAlgn val="ctr"/>
        <c:lblOffset val="100"/>
        <c:noMultiLvlLbl val="0"/>
      </c:catAx>
      <c:valAx>
        <c:axId val="151539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68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625928</xdr:colOff>
      <xdr:row>1</xdr:row>
      <xdr:rowOff>168727</xdr:rowOff>
    </xdr:from>
    <xdr:to>
      <xdr:col>6</xdr:col>
      <xdr:colOff>228600</xdr:colOff>
      <xdr:row>11</xdr:row>
      <xdr:rowOff>21770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C76F42-97A2-0692-6108-C4F0C8458367}"/>
            </a:ext>
          </a:extLst>
        </xdr:cNvPr>
        <xdr:cNvSpPr/>
      </xdr:nvSpPr>
      <xdr:spPr>
        <a:xfrm>
          <a:off x="1279071" y="353784"/>
          <a:ext cx="2868386" cy="17036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chemeClr val="bg1"/>
              </a:solidFill>
              <a:latin typeface="+mn-lt"/>
            </a:rPr>
            <a:t>Total Revenue  = 4190</a:t>
          </a:r>
        </a:p>
      </xdr:txBody>
    </xdr:sp>
    <xdr:clientData/>
  </xdr:twoCellAnchor>
  <xdr:twoCellAnchor>
    <xdr:from>
      <xdr:col>6</xdr:col>
      <xdr:colOff>631372</xdr:colOff>
      <xdr:row>1</xdr:row>
      <xdr:rowOff>157843</xdr:rowOff>
    </xdr:from>
    <xdr:to>
      <xdr:col>11</xdr:col>
      <xdr:colOff>413658</xdr:colOff>
      <xdr:row>10</xdr:row>
      <xdr:rowOff>179614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0D9158-4BBF-28C4-EB61-901E824DBA4B}"/>
            </a:ext>
          </a:extLst>
        </xdr:cNvPr>
        <xdr:cNvSpPr/>
      </xdr:nvSpPr>
      <xdr:spPr>
        <a:xfrm>
          <a:off x="4550229" y="342900"/>
          <a:ext cx="3048000" cy="168728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Total Units Sold  =  47</a:t>
          </a:r>
        </a:p>
      </xdr:txBody>
    </xdr:sp>
    <xdr:clientData/>
  </xdr:twoCellAnchor>
  <xdr:twoCellAnchor>
    <xdr:from>
      <xdr:col>1</xdr:col>
      <xdr:colOff>511628</xdr:colOff>
      <xdr:row>13</xdr:row>
      <xdr:rowOff>16328</xdr:rowOff>
    </xdr:from>
    <xdr:to>
      <xdr:col>6</xdr:col>
      <xdr:colOff>212271</xdr:colOff>
      <xdr:row>22</xdr:row>
      <xdr:rowOff>179614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3A28466-F719-EFC2-CDA7-25FBE5CAD5B9}"/>
            </a:ext>
          </a:extLst>
        </xdr:cNvPr>
        <xdr:cNvSpPr/>
      </xdr:nvSpPr>
      <xdr:spPr>
        <a:xfrm>
          <a:off x="1164771" y="2422071"/>
          <a:ext cx="2966357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Total Order Count = </a:t>
          </a:r>
          <a:r>
            <a:rPr lang="en-IN" sz="2400" b="1"/>
            <a:t>7</a:t>
          </a:r>
          <a:r>
            <a:rPr lang="en-IN" sz="2400"/>
            <a:t> 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9540EB-A823-4E73-B797-25B23CB28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hi srinath" refreshedDate="46317.755160185188" createdVersion="8" refreshedVersion="8" minRefreshableVersion="3" recordCount="7" xr:uid="{CDAD0F5F-716F-4047-87E1-3AA7A87BF183}">
  <cacheSource type="worksheet">
    <worksheetSource name="Raw_Orders_"/>
  </cacheSource>
  <cacheFields count="10">
    <cacheField name="Order_ID" numFmtId="0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Master_Customers.Customer_Name" numFmtId="0">
      <sharedItems count="5">
        <s v="Acme Retail"/>
        <s v="Nexus Logistics"/>
        <s v="Beacon Tech"/>
        <s v="Apex Systems"/>
        <s v="Horizon Group"/>
      </sharedItems>
    </cacheField>
    <cacheField name="Master_Customers.Region" numFmtId="0">
      <sharedItems count="4">
        <s v="North"/>
        <s v="West"/>
        <s v="South"/>
        <s v="East"/>
      </sharedItems>
    </cacheField>
    <cacheField name="Product_Catalog.Base_Price" numFmtId="0">
      <sharedItems/>
    </cacheField>
    <cacheField name="Product Type" numFmtId="0">
      <sharedItems/>
    </cacheField>
    <cacheField name="Gross Revenue" numFmtId="0">
      <sharedItems containsSemiMixedTypes="0" containsString="0" containsNumber="1" containsInteger="1" minValue="45" maxValue="1275"/>
    </cacheField>
    <cacheField name="Order Tier" numFmtId="0">
      <sharedItems count="3">
        <s v="Standard"/>
        <s v="High-Value"/>
        <s v="Low-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901"/>
    <s v="PROD-9921-X"/>
    <n v="5"/>
    <x v="0"/>
    <x v="0"/>
    <s v="150"/>
    <s v="9921"/>
    <n v="750"/>
    <x v="0"/>
  </r>
  <r>
    <s v="TXN-103"/>
    <s v="C-902"/>
    <s v="PROD-9921-X"/>
    <n v="2"/>
    <x v="1"/>
    <x v="1"/>
    <s v="150"/>
    <s v="9921"/>
    <n v="300"/>
    <x v="0"/>
  </r>
  <r>
    <s v="TXN-104"/>
    <s v="C-901"/>
    <s v="PROD-8815-S"/>
    <n v="8"/>
    <x v="0"/>
    <x v="0"/>
    <s v="85"/>
    <s v="8815"/>
    <n v="680"/>
    <x v="0"/>
  </r>
  <r>
    <s v="TXN-102"/>
    <s v="C-904"/>
    <s v="PROD-4012-M"/>
    <n v="12"/>
    <x v="2"/>
    <x v="2"/>
    <s v="45"/>
    <s v="4012"/>
    <n v="540"/>
    <x v="0"/>
  </r>
  <r>
    <s v="TXN-106"/>
    <s v="C-902"/>
    <s v="PROD-8815-S"/>
    <n v="15"/>
    <x v="1"/>
    <x v="1"/>
    <s v="85"/>
    <s v="8815"/>
    <n v="1275"/>
    <x v="1"/>
  </r>
  <r>
    <s v="TXN-105"/>
    <s v="C-903"/>
    <s v="PROD-4012-M"/>
    <n v="1"/>
    <x v="3"/>
    <x v="3"/>
    <s v="45"/>
    <s v="4012"/>
    <n v="45"/>
    <x v="2"/>
  </r>
  <r>
    <s v="TXN-107"/>
    <s v="C-905"/>
    <s v="PROD-9921-X"/>
    <n v="4"/>
    <x v="4"/>
    <x v="1"/>
    <s v="150"/>
    <s v="9921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B8BD9-6C0D-4547-B217-C4C25407CD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E15" firstHeaderRow="1" firstDataRow="2" firstDataCol="1"/>
  <pivotFields count="10"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4"/>
    <field x="5"/>
  </rowFields>
  <rowItems count="11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>
      <x v="4"/>
    </i>
    <i r="1"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Gross Revenue" fld="8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9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4" count="1" selected="0">
            <x v="0"/>
          </reference>
          <reference field="5" count="1">
            <x v="1"/>
          </reference>
        </references>
      </pivotArea>
    </format>
    <format dxfId="5">
      <pivotArea dataOnly="0" labelOnly="1" fieldPosition="0">
        <references count="2">
          <reference field="4" count="1" selected="0">
            <x v="1"/>
          </reference>
          <reference field="5" count="1">
            <x v="0"/>
          </reference>
        </references>
      </pivotArea>
    </format>
    <format dxfId="4">
      <pivotArea dataOnly="0" labelOnly="1" fieldPosition="0">
        <references count="2">
          <reference field="4" count="1" selected="0">
            <x v="2"/>
          </reference>
          <reference field="5" count="1">
            <x v="2"/>
          </reference>
        </references>
      </pivotArea>
    </format>
    <format dxfId="3">
      <pivotArea dataOnly="0" labelOnly="1" fieldPosition="0">
        <references count="2">
          <reference field="4" count="1" selected="0">
            <x v="3"/>
          </reference>
          <reference field="5" count="1">
            <x v="3"/>
          </reference>
        </references>
      </pivotArea>
    </format>
    <format dxfId="2">
      <pivotArea dataOnly="0" labelOnly="1" fieldPosition="0">
        <references count="2">
          <reference field="4" count="1" selected="0">
            <x v="4"/>
          </reference>
          <reference field="5" count="1">
            <x v="3"/>
          </reference>
        </references>
      </pivotArea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036BDF-C418-4E6D-92BA-43A9AB088A30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Master_Customers.Customer_Name" tableColumnId="5"/>
      <queryTableField id="6" name="Master_Customers.Region" tableColumnId="6"/>
      <queryTableField id="7" name="Product_Catalog.Base_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F66C47-7522-4C46-BFC8-4D00E50BC8B3}" name="Raw_Orders_" displayName="Raw_Orders_" ref="A1:J8" tableType="queryTable" totalsRowShown="0">
  <autoFilter ref="A1:J8" xr:uid="{20F66C47-7522-4C46-BFC8-4D00E50BC8B3}"/>
  <tableColumns count="10">
    <tableColumn id="1" xr3:uid="{82F3759E-23C2-47CA-BA95-5D11461B66F2}" uniqueName="1" name="Order_ID" queryTableFieldId="1" dataDxfId="39"/>
    <tableColumn id="2" xr3:uid="{5AEF4941-D550-46C0-9ED0-FDA9B2C73A3C}" uniqueName="2" name="Customer_ID" queryTableFieldId="2" dataDxfId="38"/>
    <tableColumn id="3" xr3:uid="{8EEEA600-04A1-4987-AF11-699FFE688AB2}" uniqueName="3" name="Product_Code" queryTableFieldId="3" dataDxfId="37"/>
    <tableColumn id="4" xr3:uid="{87067088-61E4-41A6-800F-492454B21598}" uniqueName="4" name="Units_Sold" queryTableFieldId="4"/>
    <tableColumn id="5" xr3:uid="{D6412C86-D0B9-4CCB-A0CC-A172E616E065}" uniqueName="5" name="Master_Customers.Customer_Name" queryTableFieldId="5" dataDxfId="36"/>
    <tableColumn id="6" xr3:uid="{F5AAF783-9DFF-418C-8E51-20F87C612E1C}" uniqueName="6" name="Master_Customers.Region" queryTableFieldId="6" dataDxfId="35"/>
    <tableColumn id="7" xr3:uid="{FB63270F-A6CF-447E-A74C-C3022E633805}" uniqueName="7" name="Product_Catalog.Base_Price" queryTableFieldId="7" dataDxfId="34"/>
    <tableColumn id="8" xr3:uid="{B5395947-1313-491C-911E-07B6C108AEE8}" uniqueName="8" name="Product Type" queryTableFieldId="8" dataDxfId="33">
      <calculatedColumnFormula>MID(C2,6,4)</calculatedColumnFormula>
    </tableColumn>
    <tableColumn id="9" xr3:uid="{59606470-F504-41B3-92C3-9D50C72B4F8F}" uniqueName="9" name="Gross Revenue" queryTableFieldId="9" dataDxfId="32">
      <calculatedColumnFormula>D2*G2</calculatedColumnFormula>
    </tableColumn>
    <tableColumn id="10" xr3:uid="{D63F3C00-8DC4-4EBD-9C67-447113CEECC2}" uniqueName="10" name="Order Tier" queryTableFieldId="10" dataDxfId="31">
      <calculatedColumnFormula>IF(I2&gt;=1000,"High-Value",IF(I2&gt;=300,"Standard","Low-Value"))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43311-2E92-4535-82DC-A4AE812689C2}" name="Raw_Orders" displayName="Raw_Orders" ref="A1:D9" totalsRowShown="0" headerRowDxfId="30" dataDxfId="29">
  <autoFilter ref="A1:D9" xr:uid="{42A43311-2E92-4535-82DC-A4AE812689C2}"/>
  <tableColumns count="4">
    <tableColumn id="1" xr3:uid="{B57E9DDB-7046-4F2D-BD92-9CCBBBF6EA30}" name="Column1" dataDxfId="20"/>
    <tableColumn id="2" xr3:uid="{E7DEA5F2-D277-480A-9F14-F5CB7BC40F66}" name="Column2" dataDxfId="19"/>
    <tableColumn id="3" xr3:uid="{7A7F8940-E40A-4909-B92B-20994AB038A9}" name="Column3" dataDxfId="18"/>
    <tableColumn id="4" xr3:uid="{E5F15934-7674-4A50-9920-11337B0B9ECE}" name="Column4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33FF4-6A09-43BB-AA94-B74C105678C9}" name="Master_Customers" displayName="Master_Customers" ref="A1:C7" totalsRowShown="0" headerRowDxfId="28" dataDxfId="27">
  <autoFilter ref="A1:C7" xr:uid="{59533FF4-6A09-43BB-AA94-B74C105678C9}"/>
  <tableColumns count="3">
    <tableColumn id="1" xr3:uid="{076C8E21-79E9-4BA6-AFDC-AEEDBEA070B6}" name="Column1" dataDxfId="23"/>
    <tableColumn id="2" xr3:uid="{73E71A92-0440-4886-958D-3727F5D3C7C4}" name="Column2" dataDxfId="22"/>
    <tableColumn id="3" xr3:uid="{11947A63-732E-477D-B82E-8F5D62E988C3}" name="Column3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77CA71-8ABE-4D22-B651-CE83DE3399BA}" name="Product_Catalog" displayName="Product_Catalog" ref="A1:B5" totalsRowShown="0" headerRowDxfId="26" dataDxfId="25">
  <autoFilter ref="A1:B5" xr:uid="{7177CA71-8ABE-4D22-B651-CE83DE3399BA}"/>
  <tableColumns count="2">
    <tableColumn id="1" xr3:uid="{459108D2-C528-4EC3-91E1-EBEF596FF86E}" name="Column1" dataDxfId="16"/>
    <tableColumn id="2" xr3:uid="{39965116-21F4-48C5-9870-8CBCC58A97E4}" name="Column2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B19D-EC2F-4C32-A96D-9C7CB3E36A6E}">
  <dimension ref="A3:H15"/>
  <sheetViews>
    <sheetView tabSelected="1" workbookViewId="0">
      <selection activeCell="F11" sqref="F11"/>
    </sheetView>
  </sheetViews>
  <sheetFormatPr defaultRowHeight="14.6" x14ac:dyDescent="0.4"/>
  <cols>
    <col min="1" max="1" width="19.61328125" bestFit="1" customWidth="1"/>
    <col min="2" max="2" width="15.53515625" bestFit="1" customWidth="1"/>
    <col min="3" max="3" width="9.4609375" bestFit="1" customWidth="1"/>
    <col min="4" max="4" width="8.4609375" bestFit="1" customWidth="1"/>
    <col min="5" max="5" width="10.4609375" bestFit="1" customWidth="1"/>
  </cols>
  <sheetData>
    <row r="3" spans="1:8" x14ac:dyDescent="0.4">
      <c r="A3" s="5" t="s">
        <v>50</v>
      </c>
      <c r="B3" s="5" t="s">
        <v>46</v>
      </c>
      <c r="C3" s="4"/>
      <c r="D3" s="4"/>
      <c r="E3" s="4"/>
    </row>
    <row r="4" spans="1:8" x14ac:dyDescent="0.4">
      <c r="A4" s="5" t="s">
        <v>44</v>
      </c>
      <c r="B4" s="4" t="s">
        <v>47</v>
      </c>
      <c r="C4" s="4" t="s">
        <v>48</v>
      </c>
      <c r="D4" s="4" t="s">
        <v>49</v>
      </c>
      <c r="E4" s="4" t="s">
        <v>45</v>
      </c>
    </row>
    <row r="5" spans="1:8" x14ac:dyDescent="0.4">
      <c r="A5" s="6" t="s">
        <v>21</v>
      </c>
      <c r="B5" s="4"/>
      <c r="C5" s="4"/>
      <c r="D5" s="4">
        <v>1430</v>
      </c>
      <c r="E5" s="4">
        <v>1430</v>
      </c>
    </row>
    <row r="6" spans="1:8" x14ac:dyDescent="0.4">
      <c r="A6" s="7" t="s">
        <v>22</v>
      </c>
      <c r="B6" s="4"/>
      <c r="C6" s="4"/>
      <c r="D6" s="4">
        <v>1430</v>
      </c>
      <c r="E6" s="4">
        <v>1430</v>
      </c>
    </row>
    <row r="7" spans="1:8" x14ac:dyDescent="0.4">
      <c r="A7" s="6" t="s">
        <v>25</v>
      </c>
      <c r="B7" s="4"/>
      <c r="C7" s="4">
        <v>45</v>
      </c>
      <c r="D7" s="4"/>
      <c r="E7" s="4">
        <v>45</v>
      </c>
    </row>
    <row r="8" spans="1:8" x14ac:dyDescent="0.4">
      <c r="A8" s="7" t="s">
        <v>26</v>
      </c>
      <c r="B8" s="4"/>
      <c r="C8" s="4">
        <v>45</v>
      </c>
      <c r="D8" s="4"/>
      <c r="E8" s="4">
        <v>45</v>
      </c>
    </row>
    <row r="9" spans="1:8" x14ac:dyDescent="0.4">
      <c r="A9" s="6" t="s">
        <v>27</v>
      </c>
      <c r="B9" s="4"/>
      <c r="C9" s="4"/>
      <c r="D9" s="4">
        <v>540</v>
      </c>
      <c r="E9" s="4">
        <v>540</v>
      </c>
    </row>
    <row r="10" spans="1:8" x14ac:dyDescent="0.4">
      <c r="A10" s="7" t="s">
        <v>28</v>
      </c>
      <c r="B10" s="4"/>
      <c r="C10" s="4"/>
      <c r="D10" s="4">
        <v>540</v>
      </c>
      <c r="E10" s="4">
        <v>540</v>
      </c>
      <c r="H10" s="4"/>
    </row>
    <row r="11" spans="1:8" x14ac:dyDescent="0.4">
      <c r="A11" s="6" t="s">
        <v>29</v>
      </c>
      <c r="B11" s="4"/>
      <c r="C11" s="4"/>
      <c r="D11" s="4">
        <v>600</v>
      </c>
      <c r="E11" s="4">
        <v>600</v>
      </c>
    </row>
    <row r="12" spans="1:8" x14ac:dyDescent="0.4">
      <c r="A12" s="7" t="s">
        <v>24</v>
      </c>
      <c r="B12" s="4"/>
      <c r="C12" s="4"/>
      <c r="D12" s="4">
        <v>600</v>
      </c>
      <c r="E12" s="4">
        <v>600</v>
      </c>
    </row>
    <row r="13" spans="1:8" x14ac:dyDescent="0.4">
      <c r="A13" s="6" t="s">
        <v>23</v>
      </c>
      <c r="B13" s="4">
        <v>1275</v>
      </c>
      <c r="C13" s="4"/>
      <c r="D13" s="4">
        <v>300</v>
      </c>
      <c r="E13" s="4">
        <v>1575</v>
      </c>
    </row>
    <row r="14" spans="1:8" x14ac:dyDescent="0.4">
      <c r="A14" s="7" t="s">
        <v>24</v>
      </c>
      <c r="B14" s="4">
        <v>1275</v>
      </c>
      <c r="C14" s="4"/>
      <c r="D14" s="4">
        <v>300</v>
      </c>
      <c r="E14" s="4">
        <v>1575</v>
      </c>
    </row>
    <row r="15" spans="1:8" x14ac:dyDescent="0.4">
      <c r="A15" s="6" t="s">
        <v>45</v>
      </c>
      <c r="B15" s="4">
        <v>1275</v>
      </c>
      <c r="C15" s="4">
        <v>45</v>
      </c>
      <c r="D15" s="4">
        <v>2870</v>
      </c>
      <c r="E15" s="4">
        <v>4190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41D8-DD55-4655-A092-2C6D103E69DB}">
  <dimension ref="H14"/>
  <sheetViews>
    <sheetView showGridLines="0" zoomScale="44" workbookViewId="0">
      <selection activeCell="O25" sqref="O25"/>
    </sheetView>
  </sheetViews>
  <sheetFormatPr defaultRowHeight="14.6" x14ac:dyDescent="0.4"/>
  <sheetData>
    <row r="14" spans="8:8" x14ac:dyDescent="0.4">
      <c r="H14" t="s">
        <v>51</v>
      </c>
    </row>
  </sheetData>
  <sheetProtection algorithmName="SHA-512" hashValue="dKw+3tQauue2WeNxk+h3Jihb1/FNlt8xVPRuSY21MEzALKp4bCFF4QsbaI6Gwpxsy/87Pd+nYrwcI3cG6rpWBg==" saltValue="GdlG19a5dRuNZkTULAAKe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BB54-3AA8-4F60-B24F-1424A0BD85A2}">
  <dimension ref="A1:J8"/>
  <sheetViews>
    <sheetView workbookViewId="0">
      <selection sqref="A1:J8"/>
    </sheetView>
  </sheetViews>
  <sheetFormatPr defaultRowHeight="14.6" x14ac:dyDescent="0.4"/>
  <cols>
    <col min="1" max="1" width="10.4609375" bestFit="1" customWidth="1"/>
    <col min="2" max="2" width="13.84375" bestFit="1" customWidth="1"/>
    <col min="3" max="3" width="14.765625" bestFit="1" customWidth="1"/>
    <col min="4" max="4" width="12" bestFit="1" customWidth="1"/>
    <col min="5" max="5" width="33.53515625" bestFit="1" customWidth="1"/>
    <col min="6" max="6" width="25.15234375" bestFit="1" customWidth="1"/>
    <col min="7" max="7" width="26.76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  <c r="H1" t="s">
        <v>41</v>
      </c>
      <c r="I1" t="s">
        <v>42</v>
      </c>
      <c r="J1" t="s">
        <v>43</v>
      </c>
    </row>
    <row r="2" spans="1:10" x14ac:dyDescent="0.4">
      <c r="A2" t="s">
        <v>4</v>
      </c>
      <c r="B2" t="s">
        <v>5</v>
      </c>
      <c r="C2" t="s">
        <v>6</v>
      </c>
      <c r="D2">
        <v>5</v>
      </c>
      <c r="E2" t="s">
        <v>21</v>
      </c>
      <c r="F2" t="s">
        <v>22</v>
      </c>
      <c r="G2" t="s">
        <v>38</v>
      </c>
      <c r="H2" t="str">
        <f t="shared" ref="H2:H8" si="0">MID(C2,6,4)</f>
        <v>9921</v>
      </c>
      <c r="I2">
        <f t="shared" ref="I2:I8" si="1">D2*G2</f>
        <v>750</v>
      </c>
      <c r="J2" t="str">
        <f t="shared" ref="J2:J8" si="2">IF(I2&gt;=1000,"High-Value",IF(I2&gt;=300,"Standard","Low-Value"))</f>
        <v>Standard</v>
      </c>
    </row>
    <row r="3" spans="1:10" x14ac:dyDescent="0.4">
      <c r="A3" t="s">
        <v>10</v>
      </c>
      <c r="B3" t="s">
        <v>11</v>
      </c>
      <c r="C3" t="s">
        <v>6</v>
      </c>
      <c r="D3">
        <v>2</v>
      </c>
      <c r="E3" t="s">
        <v>23</v>
      </c>
      <c r="F3" t="s">
        <v>24</v>
      </c>
      <c r="G3" t="s">
        <v>38</v>
      </c>
      <c r="H3" t="str">
        <f t="shared" si="0"/>
        <v>9921</v>
      </c>
      <c r="I3">
        <f t="shared" si="1"/>
        <v>300</v>
      </c>
      <c r="J3" t="str">
        <f t="shared" si="2"/>
        <v>Standard</v>
      </c>
    </row>
    <row r="4" spans="1:10" x14ac:dyDescent="0.4">
      <c r="A4" t="s">
        <v>12</v>
      </c>
      <c r="B4" t="s">
        <v>5</v>
      </c>
      <c r="C4" t="s">
        <v>13</v>
      </c>
      <c r="D4">
        <v>8</v>
      </c>
      <c r="E4" t="s">
        <v>21</v>
      </c>
      <c r="F4" t="s">
        <v>22</v>
      </c>
      <c r="G4" t="s">
        <v>39</v>
      </c>
      <c r="H4" t="str">
        <f t="shared" si="0"/>
        <v>8815</v>
      </c>
      <c r="I4">
        <f t="shared" si="1"/>
        <v>680</v>
      </c>
      <c r="J4" t="str">
        <f t="shared" si="2"/>
        <v>Standard</v>
      </c>
    </row>
    <row r="5" spans="1:10" x14ac:dyDescent="0.4">
      <c r="A5" t="s">
        <v>7</v>
      </c>
      <c r="B5" t="s">
        <v>8</v>
      </c>
      <c r="C5" t="s">
        <v>9</v>
      </c>
      <c r="D5">
        <v>12</v>
      </c>
      <c r="E5" t="s">
        <v>27</v>
      </c>
      <c r="F5" t="s">
        <v>28</v>
      </c>
      <c r="G5" t="s">
        <v>40</v>
      </c>
      <c r="H5" t="str">
        <f t="shared" si="0"/>
        <v>4012</v>
      </c>
      <c r="I5">
        <f t="shared" si="1"/>
        <v>540</v>
      </c>
      <c r="J5" t="str">
        <f t="shared" si="2"/>
        <v>Standard</v>
      </c>
    </row>
    <row r="6" spans="1:10" x14ac:dyDescent="0.4">
      <c r="A6" t="s">
        <v>16</v>
      </c>
      <c r="B6" t="s">
        <v>11</v>
      </c>
      <c r="C6" t="s">
        <v>13</v>
      </c>
      <c r="D6">
        <v>15</v>
      </c>
      <c r="E6" t="s">
        <v>23</v>
      </c>
      <c r="F6" t="s">
        <v>24</v>
      </c>
      <c r="G6" t="s">
        <v>39</v>
      </c>
      <c r="H6" t="str">
        <f t="shared" si="0"/>
        <v>8815</v>
      </c>
      <c r="I6">
        <f t="shared" si="1"/>
        <v>1275</v>
      </c>
      <c r="J6" t="str">
        <f t="shared" si="2"/>
        <v>High-Value</v>
      </c>
    </row>
    <row r="7" spans="1:10" x14ac:dyDescent="0.4">
      <c r="A7" t="s">
        <v>14</v>
      </c>
      <c r="B7" t="s">
        <v>15</v>
      </c>
      <c r="C7" t="s">
        <v>9</v>
      </c>
      <c r="D7">
        <v>1</v>
      </c>
      <c r="E7" t="s">
        <v>25</v>
      </c>
      <c r="F7" t="s">
        <v>26</v>
      </c>
      <c r="G7" t="s">
        <v>40</v>
      </c>
      <c r="H7" t="str">
        <f t="shared" si="0"/>
        <v>4012</v>
      </c>
      <c r="I7">
        <f t="shared" si="1"/>
        <v>45</v>
      </c>
      <c r="J7" t="str">
        <f t="shared" si="2"/>
        <v>Low-Value</v>
      </c>
    </row>
    <row r="8" spans="1:10" x14ac:dyDescent="0.4">
      <c r="A8" t="s">
        <v>17</v>
      </c>
      <c r="B8" t="s">
        <v>18</v>
      </c>
      <c r="C8" t="s">
        <v>6</v>
      </c>
      <c r="D8">
        <v>4</v>
      </c>
      <c r="E8" t="s">
        <v>29</v>
      </c>
      <c r="F8" t="s">
        <v>24</v>
      </c>
      <c r="G8" t="s">
        <v>38</v>
      </c>
      <c r="H8" t="str">
        <f t="shared" si="0"/>
        <v>9921</v>
      </c>
      <c r="I8">
        <f t="shared" si="1"/>
        <v>600</v>
      </c>
      <c r="J8" t="str">
        <f t="shared" si="2"/>
        <v>Standard</v>
      </c>
    </row>
  </sheetData>
  <conditionalFormatting sqref="J1:J8">
    <cfRule type="containsText" dxfId="24" priority="1" operator="containsText" text="High_Value">
      <formula>NOT(ISERROR(SEARCH("High_Value",J1)))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1F2B-75A0-41D3-B464-6A3F7CC15541}">
  <dimension ref="A1:D9"/>
  <sheetViews>
    <sheetView workbookViewId="0">
      <selection activeCell="A2" sqref="A2:D9"/>
    </sheetView>
  </sheetViews>
  <sheetFormatPr defaultRowHeight="14.6" x14ac:dyDescent="0.4"/>
  <cols>
    <col min="1" max="1" width="9.921875" customWidth="1"/>
    <col min="2" max="3" width="13" bestFit="1" customWidth="1"/>
    <col min="4" max="4" width="10.07421875" customWidth="1"/>
  </cols>
  <sheetData>
    <row r="1" spans="1:4" x14ac:dyDescent="0.4">
      <c r="A1" s="1" t="s">
        <v>31</v>
      </c>
      <c r="B1" s="1" t="s">
        <v>32</v>
      </c>
      <c r="C1" s="1" t="s">
        <v>33</v>
      </c>
      <c r="D1" s="1" t="s">
        <v>34</v>
      </c>
    </row>
    <row r="2" spans="1:4" ht="25.75" x14ac:dyDescent="0.4">
      <c r="A2" s="2" t="s">
        <v>0</v>
      </c>
      <c r="B2" s="2" t="s">
        <v>1</v>
      </c>
      <c r="C2" s="2" t="s">
        <v>2</v>
      </c>
      <c r="D2" s="2" t="s">
        <v>3</v>
      </c>
    </row>
    <row r="3" spans="1:4" ht="24.9" x14ac:dyDescent="0.4">
      <c r="A3" s="3" t="s">
        <v>4</v>
      </c>
      <c r="B3" s="3" t="s">
        <v>5</v>
      </c>
      <c r="C3" s="3" t="s">
        <v>6</v>
      </c>
      <c r="D3" s="3">
        <v>5</v>
      </c>
    </row>
    <row r="4" spans="1:4" ht="24.9" x14ac:dyDescent="0.4">
      <c r="A4" s="3" t="s">
        <v>7</v>
      </c>
      <c r="B4" s="3" t="s">
        <v>8</v>
      </c>
      <c r="C4" s="3" t="s">
        <v>9</v>
      </c>
      <c r="D4" s="3">
        <v>12</v>
      </c>
    </row>
    <row r="5" spans="1:4" ht="24.9" x14ac:dyDescent="0.4">
      <c r="A5" s="3" t="s">
        <v>10</v>
      </c>
      <c r="B5" s="3" t="s">
        <v>11</v>
      </c>
      <c r="C5" s="3" t="s">
        <v>6</v>
      </c>
      <c r="D5" s="3">
        <v>2</v>
      </c>
    </row>
    <row r="6" spans="1:4" ht="24.9" x14ac:dyDescent="0.4">
      <c r="A6" s="3" t="s">
        <v>12</v>
      </c>
      <c r="B6" s="3" t="s">
        <v>5</v>
      </c>
      <c r="C6" s="3" t="s">
        <v>13</v>
      </c>
      <c r="D6" s="3">
        <v>8</v>
      </c>
    </row>
    <row r="7" spans="1:4" ht="24.9" x14ac:dyDescent="0.4">
      <c r="A7" s="3" t="s">
        <v>14</v>
      </c>
      <c r="B7" s="3" t="s">
        <v>15</v>
      </c>
      <c r="C7" s="3" t="s">
        <v>9</v>
      </c>
      <c r="D7" s="3">
        <v>1</v>
      </c>
    </row>
    <row r="8" spans="1:4" ht="24.9" x14ac:dyDescent="0.4">
      <c r="A8" s="3" t="s">
        <v>16</v>
      </c>
      <c r="B8" s="3" t="s">
        <v>11</v>
      </c>
      <c r="C8" s="3" t="s">
        <v>13</v>
      </c>
      <c r="D8" s="3">
        <v>15</v>
      </c>
    </row>
    <row r="9" spans="1:4" ht="24.9" x14ac:dyDescent="0.4">
      <c r="A9" s="3" t="s">
        <v>17</v>
      </c>
      <c r="B9" s="3" t="s">
        <v>18</v>
      </c>
      <c r="C9" s="3" t="s">
        <v>6</v>
      </c>
      <c r="D9" s="3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3A0B-435F-479C-8C75-F9A0A1291FEC}">
  <dimension ref="A1:C7"/>
  <sheetViews>
    <sheetView workbookViewId="0">
      <selection activeCell="A2" sqref="A2:C7"/>
    </sheetView>
  </sheetViews>
  <sheetFormatPr defaultRowHeight="14.6" x14ac:dyDescent="0.4"/>
  <cols>
    <col min="1" max="1" width="12.53515625" customWidth="1"/>
    <col min="2" max="2" width="15" customWidth="1"/>
    <col min="3" max="3" width="10.07421875" customWidth="1"/>
  </cols>
  <sheetData>
    <row r="1" spans="1:3" x14ac:dyDescent="0.4">
      <c r="A1" s="1" t="s">
        <v>31</v>
      </c>
      <c r="B1" s="1" t="s">
        <v>32</v>
      </c>
      <c r="C1" s="1" t="s">
        <v>33</v>
      </c>
    </row>
    <row r="2" spans="1:3" ht="25.75" x14ac:dyDescent="0.4">
      <c r="A2" s="2" t="s">
        <v>1</v>
      </c>
      <c r="B2" s="2" t="s">
        <v>19</v>
      </c>
      <c r="C2" s="2" t="s">
        <v>20</v>
      </c>
    </row>
    <row r="3" spans="1:3" ht="24.9" x14ac:dyDescent="0.4">
      <c r="A3" s="3" t="s">
        <v>5</v>
      </c>
      <c r="B3" s="3" t="s">
        <v>21</v>
      </c>
      <c r="C3" s="3" t="s">
        <v>22</v>
      </c>
    </row>
    <row r="4" spans="1:3" ht="24.9" x14ac:dyDescent="0.4">
      <c r="A4" s="3" t="s">
        <v>11</v>
      </c>
      <c r="B4" s="3" t="s">
        <v>23</v>
      </c>
      <c r="C4" s="3" t="s">
        <v>24</v>
      </c>
    </row>
    <row r="5" spans="1:3" ht="24.9" x14ac:dyDescent="0.4">
      <c r="A5" s="3" t="s">
        <v>15</v>
      </c>
      <c r="B5" s="3" t="s">
        <v>25</v>
      </c>
      <c r="C5" s="3" t="s">
        <v>26</v>
      </c>
    </row>
    <row r="6" spans="1:3" ht="24.9" x14ac:dyDescent="0.4">
      <c r="A6" s="3" t="s">
        <v>8</v>
      </c>
      <c r="B6" s="3" t="s">
        <v>27</v>
      </c>
      <c r="C6" s="3" t="s">
        <v>28</v>
      </c>
    </row>
    <row r="7" spans="1:3" ht="24.9" x14ac:dyDescent="0.4">
      <c r="A7" s="3" t="s">
        <v>18</v>
      </c>
      <c r="B7" s="3" t="s">
        <v>29</v>
      </c>
      <c r="C7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9744-88BF-4849-8210-896DE5B6D408}">
  <dimension ref="A1:B5"/>
  <sheetViews>
    <sheetView workbookViewId="0">
      <selection activeCell="B9" sqref="B9"/>
    </sheetView>
  </sheetViews>
  <sheetFormatPr defaultRowHeight="14.6" x14ac:dyDescent="0.4"/>
  <cols>
    <col min="1" max="1" width="14.23046875" customWidth="1"/>
    <col min="2" max="2" width="19.15234375" customWidth="1"/>
  </cols>
  <sheetData>
    <row r="1" spans="1:2" x14ac:dyDescent="0.4">
      <c r="A1" s="1" t="s">
        <v>31</v>
      </c>
      <c r="B1" s="1" t="s">
        <v>32</v>
      </c>
    </row>
    <row r="2" spans="1:2" x14ac:dyDescent="0.4">
      <c r="A2" s="2" t="s">
        <v>30</v>
      </c>
      <c r="B2" s="2" t="s">
        <v>2</v>
      </c>
    </row>
    <row r="3" spans="1:2" x14ac:dyDescent="0.4">
      <c r="A3" s="3">
        <v>150</v>
      </c>
      <c r="B3" s="3" t="s">
        <v>6</v>
      </c>
    </row>
    <row r="4" spans="1:2" x14ac:dyDescent="0.4">
      <c r="A4" s="3">
        <v>45</v>
      </c>
      <c r="B4" s="3" t="s">
        <v>9</v>
      </c>
    </row>
    <row r="5" spans="1:2" x14ac:dyDescent="0.4">
      <c r="A5" s="3">
        <v>85</v>
      </c>
      <c r="B5" s="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0D018-D361-4FF7-A0B8-4E89BA7A13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Pivot_Analysis</vt:lpstr>
      <vt:lpstr>Executive_Dashboard</vt:lpstr>
      <vt:lpstr>Clean_Data_Warehouse</vt:lpstr>
      <vt:lpstr>Raw_Orders</vt:lpstr>
      <vt:lpstr>Master_Customers</vt:lpstr>
      <vt:lpstr>Product_Catalog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2026-10-22T12:03:27Z</dcterms:created>
  <dcterms:modified xsi:type="dcterms:W3CDTF">2026-10-23T14:44:01Z</dcterms:modified>
</cp:coreProperties>
</file>